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896" tabRatio="600" firstSheet="0" activeTab="0" autoFilterDateGrouping="1"/>
  </bookViews>
  <sheets>
    <sheet xmlns:r="http://schemas.openxmlformats.org/officeDocument/2006/relationships" name="Cover" sheetId="1" state="visible" r:id="rId1"/>
    <sheet xmlns:r="http://schemas.openxmlformats.org/officeDocument/2006/relationships" name="Contents" sheetId="2" state="visible" r:id="rId2"/>
    <sheet xmlns:r="http://schemas.openxmlformats.org/officeDocument/2006/relationships" name="Notes" sheetId="3" state="visible" r:id="rId3"/>
    <sheet xmlns:r="http://schemas.openxmlformats.org/officeDocument/2006/relationships" name="Table 1" sheetId="4" state="visible" r:id="rId4"/>
    <sheet xmlns:r="http://schemas.openxmlformats.org/officeDocument/2006/relationships" name="Table 2" sheetId="5" state="visible" r:id="rId5"/>
    <sheet xmlns:r="http://schemas.openxmlformats.org/officeDocument/2006/relationships" name="Table 3" sheetId="6" state="visible" r:id="rId6"/>
    <sheet xmlns:r="http://schemas.openxmlformats.org/officeDocument/2006/relationships" name="Table 4" sheetId="7" state="visible" r:id="rId7"/>
    <sheet xmlns:r="http://schemas.openxmlformats.org/officeDocument/2006/relationships" name="Table 5" sheetId="8" state="visible" r:id="rId8"/>
    <sheet xmlns:r="http://schemas.openxmlformats.org/officeDocument/2006/relationships" name="Table 6" sheetId="9" state="visible" r:id="rId9"/>
    <sheet xmlns:r="http://schemas.openxmlformats.org/officeDocument/2006/relationships" name="Table 7" sheetId="10" state="visible" r:id="rId10"/>
    <sheet xmlns:r="http://schemas.openxmlformats.org/officeDocument/2006/relationships" name="Table 8" sheetId="11" state="visible" r:id="rId11"/>
    <sheet xmlns:r="http://schemas.openxmlformats.org/officeDocument/2006/relationships" name="Table 9" sheetId="12" state="visible" r:id="rId12"/>
    <sheet xmlns:r="http://schemas.openxmlformats.org/officeDocument/2006/relationships" name="Table 10" sheetId="13" state="visible" r:id="rId13"/>
    <sheet xmlns:r="http://schemas.openxmlformats.org/officeDocument/2006/relationships" name="Table 11" sheetId="14" state="visible" r:id="rId14"/>
    <sheet xmlns:r="http://schemas.openxmlformats.org/officeDocument/2006/relationships" name="Table 12" sheetId="15" state="visible" r:id="rId15"/>
  </sheets>
  <definedNames/>
  <calcPr calcId="19102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Arial"/>
      <family val="2"/>
      <b val="1"/>
      <sz val="16"/>
    </font>
    <font>
      <name val="Arial"/>
      <family val="2"/>
      <sz val="12"/>
    </font>
    <font>
      <name val="Arial"/>
      <family val="2"/>
      <color rgb="FF0000FF"/>
      <sz val="12"/>
      <u val="single"/>
    </font>
    <font>
      <name val="Arial"/>
      <family val="2"/>
      <b val="1"/>
      <sz val="12"/>
    </font>
    <font>
      <name val="Calibri"/>
      <family val="2"/>
      <color theme="1"/>
      <sz val="11"/>
      <scheme val="minor"/>
    </font>
    <font>
      <name val="Arial"/>
      <family val="2"/>
      <b val="1"/>
      <color rgb="FF000000"/>
      <sz val="12"/>
    </font>
    <font>
      <name val="Arial"/>
      <family val="2"/>
      <color rgb="FF000000"/>
      <sz val="12"/>
    </font>
    <font>
      <name val="Arial"/>
      <family val="2"/>
      <color theme="1"/>
      <sz val="12"/>
    </font>
    <font>
      <name val="Arial"/>
      <family val="2"/>
      <b val="1"/>
      <color rgb="FF000000"/>
      <sz val="16"/>
    </font>
    <font>
      <name val="Arial"/>
      <family val="2"/>
      <b val="1"/>
      <color rgb="FF000000"/>
      <sz val="14"/>
    </font>
    <font>
      <b val="1"/>
    </font>
    <font>
      <name val="Arial"/>
      <b val="1"/>
      <sz val="16"/>
    </font>
    <font>
      <name val="Arial"/>
      <sz val="12"/>
    </font>
    <font>
      <name val="Arial"/>
      <color rgb="000000FF"/>
      <sz val="12"/>
      <u val="single"/>
    </font>
    <font>
      <name val="Arial"/>
      <b val="1"/>
      <sz val="12"/>
    </font>
  </fonts>
  <fills count="2">
    <fill>
      <patternFill/>
    </fill>
    <fill>
      <patternFill patternType="gray125"/>
    </fill>
  </fills>
  <borders count="2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border>
    <border/>
    <border/>
    <border/>
    <border/>
    <border/>
    <border/>
    <border/>
    <border/>
    <border/>
    <border/>
    <border/>
  </borders>
  <cellStyleXfs count="3">
    <xf numFmtId="0" fontId="5" fillId="0" borderId="11"/>
    <xf numFmtId="9" fontId="5" fillId="0" borderId="11"/>
    <xf numFmtId="0" fontId="7" fillId="0" borderId="11"/>
  </cellStyleXfs>
  <cellXfs count="1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wrapText="1"/>
    </xf>
    <xf numFmtId="3" fontId="4" fillId="0" borderId="1" applyAlignment="1" pivotButton="0" quotePrefix="0" xfId="0">
      <alignment horizontal="right" wrapText="1"/>
    </xf>
    <xf numFmtId="0" fontId="2" fillId="0" borderId="1" applyAlignment="1" pivotButton="0" quotePrefix="0" xfId="0">
      <alignment wrapText="1"/>
    </xf>
    <xf numFmtId="3" fontId="2" fillId="0" borderId="1" applyAlignment="1" pivotButton="0" quotePrefix="0" xfId="0">
      <alignment horizontal="right" wrapText="1"/>
    </xf>
    <xf numFmtId="0" fontId="4" fillId="0" borderId="2" applyAlignment="1" pivotButton="0" quotePrefix="0" xfId="0">
      <alignment wrapText="1"/>
    </xf>
    <xf numFmtId="3" fontId="4" fillId="0" borderId="2" applyAlignment="1" pivotButton="0" quotePrefix="0" xfId="0">
      <alignment horizontal="right" wrapText="1"/>
    </xf>
    <xf numFmtId="0" fontId="2" fillId="0" borderId="2" applyAlignment="1" pivotButton="0" quotePrefix="0" xfId="0">
      <alignment wrapText="1"/>
    </xf>
    <xf numFmtId="3" fontId="2" fillId="0" borderId="2" applyAlignment="1" pivotButton="0" quotePrefix="0" xfId="0">
      <alignment horizontal="right" wrapText="1"/>
    </xf>
    <xf numFmtId="0" fontId="4" fillId="0" borderId="3" applyAlignment="1" pivotButton="0" quotePrefix="0" xfId="0">
      <alignment wrapText="1"/>
    </xf>
    <xf numFmtId="3" fontId="4" fillId="0" borderId="3" applyAlignment="1" pivotButton="0" quotePrefix="0" xfId="0">
      <alignment horizontal="right" wrapText="1"/>
    </xf>
    <xf numFmtId="0" fontId="2" fillId="0" borderId="3" applyAlignment="1" pivotButton="0" quotePrefix="0" xfId="0">
      <alignment wrapText="1"/>
    </xf>
    <xf numFmtId="3" fontId="2" fillId="0" borderId="3" applyAlignment="1" pivotButton="0" quotePrefix="0" xfId="0">
      <alignment horizontal="right" wrapText="1"/>
    </xf>
    <xf numFmtId="0" fontId="4" fillId="0" borderId="4" applyAlignment="1" pivotButton="0" quotePrefix="0" xfId="0">
      <alignment wrapText="1"/>
    </xf>
    <xf numFmtId="3" fontId="4" fillId="0" borderId="4" applyAlignment="1" pivotButton="0" quotePrefix="0" xfId="0">
      <alignment horizontal="right" wrapText="1"/>
    </xf>
    <xf numFmtId="0" fontId="2" fillId="0" borderId="4" applyAlignment="1" pivotButton="0" quotePrefix="0" xfId="0">
      <alignment wrapText="1"/>
    </xf>
    <xf numFmtId="3" fontId="2" fillId="0" borderId="4" applyAlignment="1" pivotButton="0" quotePrefix="0" xfId="0">
      <alignment horizontal="right" wrapText="1"/>
    </xf>
    <xf numFmtId="0" fontId="4" fillId="0" borderId="5" applyAlignment="1" pivotButton="0" quotePrefix="0" xfId="0">
      <alignment wrapText="1"/>
    </xf>
    <xf numFmtId="3" fontId="4" fillId="0" borderId="5" applyAlignment="1" pivotButton="0" quotePrefix="0" xfId="0">
      <alignment horizontal="right" wrapText="1"/>
    </xf>
    <xf numFmtId="0" fontId="2" fillId="0" borderId="5" applyAlignment="1" pivotButton="0" quotePrefix="0" xfId="0">
      <alignment wrapText="1"/>
    </xf>
    <xf numFmtId="3" fontId="2" fillId="0" borderId="5" applyAlignment="1" pivotButton="0" quotePrefix="0" xfId="0">
      <alignment horizontal="right" wrapText="1"/>
    </xf>
    <xf numFmtId="0" fontId="4" fillId="0" borderId="6" applyAlignment="1" pivotButton="0" quotePrefix="0" xfId="0">
      <alignment wrapText="1"/>
    </xf>
    <xf numFmtId="3" fontId="4" fillId="0" borderId="6" applyAlignment="1" pivotButton="0" quotePrefix="0" xfId="0">
      <alignment horizontal="right" wrapText="1"/>
    </xf>
    <xf numFmtId="0" fontId="2" fillId="0" borderId="6" applyAlignment="1" pivotButton="0" quotePrefix="0" xfId="0">
      <alignment wrapText="1"/>
    </xf>
    <xf numFmtId="3" fontId="2" fillId="0" borderId="6" applyAlignment="1" pivotButton="0" quotePrefix="0" xfId="0">
      <alignment horizontal="right" wrapText="1"/>
    </xf>
    <xf numFmtId="0" fontId="4" fillId="0" borderId="7" applyAlignment="1" pivotButton="0" quotePrefix="0" xfId="0">
      <alignment wrapText="1"/>
    </xf>
    <xf numFmtId="3" fontId="4" fillId="0" borderId="7" applyAlignment="1" pivotButton="0" quotePrefix="0" xfId="0">
      <alignment horizontal="right" wrapText="1"/>
    </xf>
    <xf numFmtId="0" fontId="2" fillId="0" borderId="7" applyAlignment="1" pivotButton="0" quotePrefix="0" xfId="0">
      <alignment wrapText="1"/>
    </xf>
    <xf numFmtId="3" fontId="2" fillId="0" borderId="7" applyAlignment="1" pivotButton="0" quotePrefix="0" xfId="0">
      <alignment horizontal="right" wrapText="1"/>
    </xf>
    <xf numFmtId="0" fontId="4" fillId="0" borderId="8" applyAlignment="1" pivotButton="0" quotePrefix="0" xfId="0">
      <alignment wrapText="1"/>
    </xf>
    <xf numFmtId="3" fontId="4" fillId="0" borderId="8" applyAlignment="1" pivotButton="0" quotePrefix="0" xfId="0">
      <alignment horizontal="right" wrapText="1"/>
    </xf>
    <xf numFmtId="0" fontId="2" fillId="0" borderId="8" applyAlignment="1" pivotButton="0" quotePrefix="0" xfId="0">
      <alignment wrapText="1"/>
    </xf>
    <xf numFmtId="3" fontId="2" fillId="0" borderId="8" applyAlignment="1" pivotButton="0" quotePrefix="0" xfId="0">
      <alignment horizontal="right" wrapText="1"/>
    </xf>
    <xf numFmtId="0" fontId="4" fillId="0" borderId="9" applyAlignment="1" pivotButton="0" quotePrefix="0" xfId="0">
      <alignment wrapText="1"/>
    </xf>
    <xf numFmtId="3" fontId="4" fillId="0" borderId="9" applyAlignment="1" pivotButton="0" quotePrefix="0" xfId="0">
      <alignment horizontal="right" wrapText="1"/>
    </xf>
    <xf numFmtId="0" fontId="2" fillId="0" borderId="9" applyAlignment="1" pivotButton="0" quotePrefix="0" xfId="0">
      <alignment wrapText="1"/>
    </xf>
    <xf numFmtId="3" fontId="2" fillId="0" borderId="9" applyAlignment="1" pivotButton="0" quotePrefix="0" xfId="0">
      <alignment horizontal="right" wrapText="1"/>
    </xf>
    <xf numFmtId="0" fontId="4" fillId="0" borderId="10" applyAlignment="1" pivotButton="0" quotePrefix="0" xfId="0">
      <alignment wrapText="1"/>
    </xf>
    <xf numFmtId="3" fontId="4" fillId="0" borderId="10" applyAlignment="1" pivotButton="0" quotePrefix="0" xfId="0">
      <alignment horizontal="right" wrapText="1"/>
    </xf>
    <xf numFmtId="0" fontId="4" fillId="0" borderId="0" pivotButton="0" quotePrefix="0" xfId="0"/>
    <xf numFmtId="0" fontId="2" fillId="0" borderId="10" applyAlignment="1" pivotButton="0" quotePrefix="0" xfId="0">
      <alignment wrapText="1"/>
    </xf>
    <xf numFmtId="3" fontId="2" fillId="0" borderId="10" applyAlignment="1" pivotButton="0" quotePrefix="0" xfId="0">
      <alignment horizontal="right" wrapText="1"/>
    </xf>
    <xf numFmtId="0" fontId="4" fillId="0" borderId="11" applyAlignment="1" pivotButton="0" quotePrefix="0" xfId="0">
      <alignment wrapText="1"/>
    </xf>
    <xf numFmtId="3" fontId="4" fillId="0" borderId="11" applyAlignment="1" pivotButton="0" quotePrefix="0" xfId="0">
      <alignment horizontal="right" wrapText="1"/>
    </xf>
    <xf numFmtId="0" fontId="2" fillId="0" borderId="11" applyAlignment="1" pivotButton="0" quotePrefix="0" xfId="0">
      <alignment wrapText="1"/>
    </xf>
    <xf numFmtId="3" fontId="2" fillId="0" borderId="11" applyAlignment="1" pivotButton="0" quotePrefix="0" xfId="0">
      <alignment horizontal="right" wrapText="1"/>
    </xf>
    <xf numFmtId="164" fontId="2" fillId="0" borderId="5" applyAlignment="1" pivotButton="0" quotePrefix="0" xfId="1">
      <alignment wrapText="1"/>
    </xf>
    <xf numFmtId="164" fontId="2" fillId="0" borderId="5" applyAlignment="1" pivotButton="0" quotePrefix="0" xfId="1">
      <alignment horizontal="right" wrapText="1"/>
    </xf>
    <xf numFmtId="0" fontId="6" fillId="0" borderId="0" applyAlignment="1" pivotButton="0" quotePrefix="0" xfId="0">
      <alignment horizontal="left" wrapText="1"/>
    </xf>
    <xf numFmtId="0" fontId="3" fillId="0" borderId="0" applyAlignment="1" pivotButton="0" quotePrefix="0" xfId="0">
      <alignment horizontal="left" wrapText="1"/>
    </xf>
    <xf numFmtId="0" fontId="8" fillId="0" borderId="0" pivotButton="0" quotePrefix="0" xfId="0"/>
    <xf numFmtId="0" fontId="9" fillId="0" borderId="11" pivotButton="0" quotePrefix="0" xfId="2"/>
    <xf numFmtId="0" fontId="7" fillId="0" borderId="11" pivotButton="0" quotePrefix="0" xfId="2"/>
    <xf numFmtId="0" fontId="3" fillId="0" borderId="11" pivotButton="0" quotePrefix="0" xfId="2"/>
    <xf numFmtId="0" fontId="6" fillId="0" borderId="11" applyAlignment="1" pivotButton="0" quotePrefix="0" xfId="2">
      <alignment horizontal="left" wrapText="1"/>
    </xf>
    <xf numFmtId="0" fontId="7" fillId="0" borderId="11" applyAlignment="1" pivotButton="0" quotePrefix="0" xfId="2">
      <alignment horizontal="left" vertical="top" wrapText="1"/>
    </xf>
    <xf numFmtId="0" fontId="9" fillId="0" borderId="11" applyAlignment="1" pivotButton="0" quotePrefix="0" xfId="2">
      <alignment wrapText="1"/>
    </xf>
    <xf numFmtId="0" fontId="10" fillId="0" borderId="11" applyAlignment="1" pivotButton="0" quotePrefix="0" xfId="2">
      <alignment wrapText="1"/>
    </xf>
    <xf numFmtId="0" fontId="7" fillId="0" borderId="11" applyAlignment="1" pivotButton="0" quotePrefix="0" xfId="2">
      <alignment wrapText="1"/>
    </xf>
    <xf numFmtId="0" fontId="3" fillId="0" borderId="11" applyAlignment="1" pivotButton="0" quotePrefix="0" xfId="2">
      <alignment wrapText="1"/>
    </xf>
    <xf numFmtId="0" fontId="11" fillId="0" borderId="12" applyAlignment="1" pivotButton="0" quotePrefix="0" xfId="0">
      <alignment horizontal="center" vertical="top"/>
    </xf>
    <xf numFmtId="0" fontId="12" fillId="0" borderId="0" pivotButton="0" quotePrefix="0" xfId="0"/>
    <xf numFmtId="0" fontId="13" fillId="0" borderId="0" pivotButton="0" quotePrefix="0" xfId="0"/>
    <xf numFmtId="0" fontId="14" fillId="0" borderId="0" pivotButton="0" quotePrefix="0" xfId="0"/>
    <xf numFmtId="0" fontId="15" fillId="0" borderId="13" applyAlignment="1" pivotButton="0" quotePrefix="0" xfId="0">
      <alignment vertical="bottom" wrapText="1"/>
    </xf>
    <xf numFmtId="3" fontId="15" fillId="0" borderId="13" applyAlignment="1" pivotButton="0" quotePrefix="0" xfId="0">
      <alignment horizontal="right" vertical="bottom" wrapText="1"/>
    </xf>
    <xf numFmtId="0" fontId="13" fillId="0" borderId="13" applyAlignment="1" pivotButton="0" quotePrefix="0" xfId="0">
      <alignment vertical="bottom" wrapText="1"/>
    </xf>
    <xf numFmtId="3" fontId="13" fillId="0" borderId="13" applyAlignment="1" pivotButton="0" quotePrefix="0" xfId="0">
      <alignment horizontal="right" vertical="bottom" wrapText="1"/>
    </xf>
    <xf numFmtId="0" fontId="15" fillId="0" borderId="14" applyAlignment="1" pivotButton="0" quotePrefix="0" xfId="0">
      <alignment vertical="bottom" wrapText="1"/>
    </xf>
    <xf numFmtId="3" fontId="15" fillId="0" borderId="14" applyAlignment="1" pivotButton="0" quotePrefix="0" xfId="0">
      <alignment horizontal="right" vertical="bottom" wrapText="1"/>
    </xf>
    <xf numFmtId="0" fontId="13" fillId="0" borderId="14" applyAlignment="1" pivotButton="0" quotePrefix="0" xfId="0">
      <alignment vertical="bottom" wrapText="1"/>
    </xf>
    <xf numFmtId="3" fontId="13" fillId="0" borderId="14" applyAlignment="1" pivotButton="0" quotePrefix="0" xfId="0">
      <alignment horizontal="right" vertical="bottom" wrapText="1"/>
    </xf>
    <xf numFmtId="0" fontId="15" fillId="0" borderId="15" applyAlignment="1" pivotButton="0" quotePrefix="0" xfId="0">
      <alignment vertical="bottom" wrapText="1"/>
    </xf>
    <xf numFmtId="3" fontId="15" fillId="0" borderId="15" applyAlignment="1" pivotButton="0" quotePrefix="0" xfId="0">
      <alignment horizontal="right" vertical="bottom" wrapText="1"/>
    </xf>
    <xf numFmtId="0" fontId="13" fillId="0" borderId="15" applyAlignment="1" pivotButton="0" quotePrefix="0" xfId="0">
      <alignment vertical="bottom" wrapText="1"/>
    </xf>
    <xf numFmtId="3" fontId="13" fillId="0" borderId="15" applyAlignment="1" pivotButton="0" quotePrefix="0" xfId="0">
      <alignment horizontal="right" vertical="bottom" wrapText="1"/>
    </xf>
    <xf numFmtId="0" fontId="15" fillId="0" borderId="16" applyAlignment="1" pivotButton="0" quotePrefix="0" xfId="0">
      <alignment vertical="bottom" wrapText="1"/>
    </xf>
    <xf numFmtId="3" fontId="15" fillId="0" borderId="16" applyAlignment="1" pivotButton="0" quotePrefix="0" xfId="0">
      <alignment horizontal="right" vertical="bottom" wrapText="1"/>
    </xf>
    <xf numFmtId="0" fontId="13" fillId="0" borderId="16" applyAlignment="1" pivotButton="0" quotePrefix="0" xfId="0">
      <alignment vertical="bottom" wrapText="1"/>
    </xf>
    <xf numFmtId="3" fontId="13" fillId="0" borderId="16" applyAlignment="1" pivotButton="0" quotePrefix="0" xfId="0">
      <alignment horizontal="right" vertical="bottom" wrapText="1"/>
    </xf>
    <xf numFmtId="0" fontId="15" fillId="0" borderId="17" applyAlignment="1" pivotButton="0" quotePrefix="0" xfId="0">
      <alignment vertical="bottom" wrapText="1"/>
    </xf>
    <xf numFmtId="3" fontId="15" fillId="0" borderId="17" applyAlignment="1" pivotButton="0" quotePrefix="0" xfId="0">
      <alignment horizontal="right" vertical="bottom" wrapText="1"/>
    </xf>
    <xf numFmtId="0" fontId="13" fillId="0" borderId="17" applyAlignment="1" pivotButton="0" quotePrefix="0" xfId="0">
      <alignment vertical="bottom" wrapText="1"/>
    </xf>
    <xf numFmtId="3" fontId="13" fillId="0" borderId="17" applyAlignment="1" pivotButton="0" quotePrefix="0" xfId="0">
      <alignment horizontal="right" vertical="bottom" wrapText="1"/>
    </xf>
    <xf numFmtId="0" fontId="15" fillId="0" borderId="18" applyAlignment="1" pivotButton="0" quotePrefix="0" xfId="0">
      <alignment vertical="bottom" wrapText="1"/>
    </xf>
    <xf numFmtId="3" fontId="15" fillId="0" borderId="18" applyAlignment="1" pivotButton="0" quotePrefix="0" xfId="0">
      <alignment horizontal="right" vertical="bottom" wrapText="1"/>
    </xf>
    <xf numFmtId="0" fontId="13" fillId="0" borderId="18" applyAlignment="1" pivotButton="0" quotePrefix="0" xfId="0">
      <alignment vertical="bottom" wrapText="1"/>
    </xf>
    <xf numFmtId="3" fontId="13" fillId="0" borderId="18" applyAlignment="1" pivotButton="0" quotePrefix="0" xfId="0">
      <alignment horizontal="right" vertical="bottom" wrapText="1"/>
    </xf>
    <xf numFmtId="0" fontId="15" fillId="0" borderId="19" applyAlignment="1" pivotButton="0" quotePrefix="0" xfId="0">
      <alignment vertical="bottom" wrapText="1"/>
    </xf>
    <xf numFmtId="3" fontId="15" fillId="0" borderId="19" applyAlignment="1" pivotButton="0" quotePrefix="0" xfId="0">
      <alignment horizontal="right" vertical="bottom" wrapText="1"/>
    </xf>
    <xf numFmtId="0" fontId="13" fillId="0" borderId="19" applyAlignment="1" pivotButton="0" quotePrefix="0" xfId="0">
      <alignment vertical="bottom" wrapText="1"/>
    </xf>
    <xf numFmtId="3" fontId="13" fillId="0" borderId="19" applyAlignment="1" pivotButton="0" quotePrefix="0" xfId="0">
      <alignment horizontal="right" vertical="bottom" wrapText="1"/>
    </xf>
    <xf numFmtId="0" fontId="15" fillId="0" borderId="20" applyAlignment="1" pivotButton="0" quotePrefix="0" xfId="0">
      <alignment vertical="bottom" wrapText="1"/>
    </xf>
    <xf numFmtId="3" fontId="15" fillId="0" borderId="20" applyAlignment="1" pivotButton="0" quotePrefix="0" xfId="0">
      <alignment horizontal="right" vertical="bottom" wrapText="1"/>
    </xf>
    <xf numFmtId="0" fontId="13" fillId="0" borderId="20" applyAlignment="1" pivotButton="0" quotePrefix="0" xfId="0">
      <alignment vertical="bottom" wrapText="1"/>
    </xf>
    <xf numFmtId="3" fontId="13" fillId="0" borderId="20" applyAlignment="1" pivotButton="0" quotePrefix="0" xfId="0">
      <alignment horizontal="right" vertical="bottom" wrapText="1"/>
    </xf>
    <xf numFmtId="0" fontId="15" fillId="0" borderId="21" applyAlignment="1" pivotButton="0" quotePrefix="0" xfId="0">
      <alignment vertical="bottom" wrapText="1"/>
    </xf>
    <xf numFmtId="3" fontId="15" fillId="0" borderId="21" applyAlignment="1" pivotButton="0" quotePrefix="0" xfId="0">
      <alignment horizontal="right" vertical="bottom" wrapText="1"/>
    </xf>
    <xf numFmtId="0" fontId="13" fillId="0" borderId="21" applyAlignment="1" pivotButton="0" quotePrefix="0" xfId="0">
      <alignment vertical="bottom" wrapText="1"/>
    </xf>
    <xf numFmtId="3" fontId="13" fillId="0" borderId="21" applyAlignment="1" pivotButton="0" quotePrefix="0" xfId="0">
      <alignment horizontal="right" vertical="bottom" wrapText="1"/>
    </xf>
    <xf numFmtId="0" fontId="15" fillId="0" borderId="22" applyAlignment="1" pivotButton="0" quotePrefix="0" xfId="0">
      <alignment vertical="bottom" wrapText="1"/>
    </xf>
    <xf numFmtId="3" fontId="15" fillId="0" borderId="22" applyAlignment="1" pivotButton="0" quotePrefix="0" xfId="0">
      <alignment horizontal="right" vertical="bottom" wrapText="1"/>
    </xf>
    <xf numFmtId="0" fontId="15" fillId="0" borderId="0" pivotButton="0" quotePrefix="0" xfId="0"/>
    <xf numFmtId="0" fontId="13" fillId="0" borderId="22" applyAlignment="1" pivotButton="0" quotePrefix="0" xfId="0">
      <alignment vertical="bottom" wrapText="1"/>
    </xf>
    <xf numFmtId="3" fontId="13" fillId="0" borderId="22" applyAlignment="1" pivotButton="0" quotePrefix="0" xfId="0">
      <alignment horizontal="right" vertical="bottom" wrapText="1"/>
    </xf>
    <xf numFmtId="0" fontId="15" fillId="0" borderId="23" applyAlignment="1" pivotButton="0" quotePrefix="0" xfId="0">
      <alignment vertical="bottom" wrapText="1"/>
    </xf>
    <xf numFmtId="3" fontId="15" fillId="0" borderId="23" applyAlignment="1" pivotButton="0" quotePrefix="0" xfId="0">
      <alignment horizontal="right" vertical="bottom" wrapText="1"/>
    </xf>
    <xf numFmtId="0" fontId="13" fillId="0" borderId="23" applyAlignment="1" pivotButton="0" quotePrefix="0" xfId="0">
      <alignment vertical="bottom" wrapText="1"/>
    </xf>
    <xf numFmtId="3" fontId="13" fillId="0" borderId="23" applyAlignment="1" pivotButton="0" quotePrefix="0" xfId="0">
      <alignment horizontal="right" vertical="bottom" wrapText="1"/>
    </xf>
  </cellXfs>
  <cellStyles count="3">
    <cellStyle name="Normal" xfId="0" builtinId="0"/>
    <cellStyle name="Percent" xfId="1" builtinId="5"/>
    <cellStyle name="Normal 2" xfId="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contents" displayName="contents" ref="A3:B16" headerRowCount="1" totalsRowShown="0">
  <tableColumns count="2">
    <tableColumn id="1" name="Sheet Name"/>
    <tableColumn id="2" name="Sheet Title"/>
  </tableColumns>
  <tableStyleInfo showFirstColumn="0" showLastColumn="0" showRowStripes="1" showColumnStripes="0"/>
</table>
</file>

<file path=xl/tables/table2.xml><?xml version="1.0" encoding="utf-8"?>
<table xmlns="http://schemas.openxmlformats.org/spreadsheetml/2006/main" id="2" name="notes" displayName="notes" ref="A4:B9" headerRowCount="1" totalsRowShown="0">
  <tableColumns count="2">
    <tableColumn id="1" name="Note"/>
    <tableColumn id="2"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v.uk/government/collections/offender-management-statistics-quarterly" TargetMode="External" Id="rId1"/><Relationship Type="http://schemas.openxmlformats.org/officeDocument/2006/relationships/hyperlink" Target="https://www.gov.uk/government/publications/prisons-and-their-resettlement-providers" TargetMode="External" Id="rId2"/><Relationship Type="http://schemas.openxmlformats.org/officeDocument/2006/relationships/hyperlink" Target="https://www.gov.uk/government/collections/youth-justice-statistics" TargetMode="External" Id="rId3"/><Relationship Type="http://schemas.openxmlformats.org/officeDocument/2006/relationships/hyperlink" Target="https://www.gov.uk/government/publications/youth-custody-data" TargetMode="External" Id="rId4"/><Relationship Type="http://schemas.openxmlformats.org/officeDocument/2006/relationships/hyperlink" Target="https://www.gov.uk/government/organisations/ministry-of-justice/about/media-enquiries" TargetMode="External" Id="rId5"/></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hyperlink" Target="#Contents!A1" TargetMode="External" Id="rId1"/></Relationships>
</file>

<file path=xl/worksheets/_rels/sheet6.xml.rels><Relationships xmlns="http://schemas.openxmlformats.org/package/2006/relationships"><Relationship Type="http://schemas.openxmlformats.org/officeDocument/2006/relationships/hyperlink" Target="#Contents!A1" TargetMode="External" Id="rId1"/></Relationships>
</file>

<file path=xl/worksheets/_rels/sheet7.xml.rels><Relationships xmlns="http://schemas.openxmlformats.org/package/2006/relationships"><Relationship Type="http://schemas.openxmlformats.org/officeDocument/2006/relationships/hyperlink" Target="#Contents!A1" TargetMode="External" Id="rId1"/></Relationships>
</file>

<file path=xl/worksheets/_rels/sheet8.xml.rels><Relationships xmlns="http://schemas.openxmlformats.org/package/2006/relationships"><Relationship Type="http://schemas.openxmlformats.org/officeDocument/2006/relationships/hyperlink" Target="#Contents!A1" TargetMode="External" Id="rId1"/></Relationships>
</file>

<file path=xl/worksheets/_rels/sheet9.xml.rels><Relationships xmlns="http://schemas.openxmlformats.org/package/2006/relationships"><Relationship Type="http://schemas.openxmlformats.org/officeDocument/2006/relationships/hyperlink" Target="#Contents!A1" TargetMode="External" Id="rId1"/></Relationships>
</file>

<file path=xl/worksheets/_rels/sheet10.xml.rels><Relationships xmlns="http://schemas.openxmlformats.org/package/2006/relationships"><Relationship Type="http://schemas.openxmlformats.org/officeDocument/2006/relationships/hyperlink" Target="#Contents!A1" TargetMode="External" Id="rId1"/></Relationships>
</file>

<file path=xl/worksheets/_rels/sheet11.xml.rels><Relationships xmlns="http://schemas.openxmlformats.org/package/2006/relationships"><Relationship Type="http://schemas.openxmlformats.org/officeDocument/2006/relationships/hyperlink" Target="#Contents!A1" TargetMode="External" Id="rId1"/></Relationships>
</file>

<file path=xl/worksheets/_rels/sheet12.xml.rels><Relationships xmlns="http://schemas.openxmlformats.org/package/2006/relationships"><Relationship Type="http://schemas.openxmlformats.org/officeDocument/2006/relationships/hyperlink" Target="#Contents!A1" TargetMode="External" Id="rId1"/></Relationships>
</file>

<file path=xl/worksheets/_rels/sheet13.xml.rels><Relationships xmlns="http://schemas.openxmlformats.org/package/2006/relationships"><Relationship Type="http://schemas.openxmlformats.org/officeDocument/2006/relationships/hyperlink" Target="#Contents!A1" TargetMode="External" Id="rId1"/></Relationships>
</file>

<file path=xl/worksheets/_rels/sheet14.xml.rels><Relationships xmlns="http://schemas.openxmlformats.org/package/2006/relationships"><Relationship Type="http://schemas.openxmlformats.org/officeDocument/2006/relationships/hyperlink" Target="#Contents!A1" TargetMode="External" Id="rId1"/></Relationships>
</file>

<file path=xl/worksheets/_rels/sheet15.xml.rels><Relationships xmlns="http://schemas.openxmlformats.org/package/2006/relationships"><Relationship Type="http://schemas.openxmlformats.org/officeDocument/2006/relationships/hyperlink" Target="#Contents!A1" TargetMode="External" Id="rId1"/></Relationships>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8" sqref="A18"/>
    </sheetView>
  </sheetViews>
  <sheetFormatPr baseColWidth="8" defaultColWidth="14.44140625" defaultRowHeight="15"/>
  <cols>
    <col width="225.77734375" customWidth="1" style="55" min="1" max="1"/>
    <col width="14.44140625" customWidth="1" style="55" min="2" max="2"/>
    <col width="14.44140625" customWidth="1" style="55" min="3" max="16384"/>
  </cols>
  <sheetData>
    <row r="1" ht="21" customHeight="1">
      <c r="A1" s="59" t="inlineStr">
        <is>
          <t>Prison Population: as at 31 March 2024</t>
        </is>
      </c>
    </row>
    <row r="2" ht="33.9" customHeight="1">
      <c r="A2" s="60" t="inlineStr">
        <is>
          <t>Publication details</t>
        </is>
      </c>
    </row>
    <row r="3">
      <c r="A3" s="61" t="inlineStr">
        <is>
          <t>These tables are published as part of the 'Offender Management Statistics Quarterly' publication by the Ministry of Justice.</t>
        </is>
      </c>
    </row>
    <row r="4">
      <c r="A4" s="62" t="inlineStr">
        <is>
          <t>Link to 'Offender Management Statistics Quarterly' (opens in a new window)</t>
        </is>
      </c>
    </row>
    <row r="5" ht="33.9" customHeight="1">
      <c r="A5" s="60" t="inlineStr">
        <is>
          <t>Definitions and measurements</t>
        </is>
      </c>
    </row>
    <row r="6">
      <c r="A6" s="61" t="inlineStr">
        <is>
          <t>Further details of the terminology used to report prison population statistics can be found in the definitions section for population in the 'Guide to Offender Management Statistics' published alongside these tables.</t>
        </is>
      </c>
    </row>
    <row r="7" ht="33.9" customHeight="1">
      <c r="A7" s="60" t="inlineStr">
        <is>
          <t>Geographic coverage</t>
        </is>
      </c>
    </row>
    <row r="8">
      <c r="A8" s="61" t="inlineStr">
        <is>
          <t>All tables are for England and Wales.</t>
        </is>
      </c>
    </row>
    <row r="9" ht="33.9" customHeight="1">
      <c r="A9" s="60" t="inlineStr">
        <is>
          <t>Data sources</t>
        </is>
      </c>
    </row>
    <row r="10">
      <c r="A10" s="61" t="inlineStr">
        <is>
          <t>The majority of the figures in these tables are drawn from the Prison National Offender Management Information System (Prison NOMIS). Any additional data sources are listed above the relevant tables.</t>
        </is>
      </c>
    </row>
    <row r="11" ht="33.9" customHeight="1">
      <c r="A11" s="60" t="inlineStr">
        <is>
          <t>Data quality</t>
        </is>
      </c>
    </row>
    <row r="12" ht="30" customHeight="1">
      <c r="A12" s="61" t="inlineStr">
        <is>
          <t>The figures in these tables have been drawn from administrative IT systems which, as with any large scale recording system, are subject to possible errors with data entry and processing. Data quality improvement work in 2023 to 2024 may have resulted in small changes to previously published figures.</t>
        </is>
      </c>
    </row>
    <row r="13" ht="33.9" customHeight="1">
      <c r="A13" s="60" t="inlineStr">
        <is>
          <t>Symbols used</t>
        </is>
      </c>
    </row>
    <row r="14">
      <c r="A14" s="61" t="inlineStr">
        <is>
          <t>[x] Not available</t>
        </is>
      </c>
    </row>
    <row r="15">
      <c r="A15" s="61" t="inlineStr">
        <is>
          <t>[c] Confidential (disclosure control)</t>
        </is>
      </c>
    </row>
    <row r="16">
      <c r="A16" s="61" t="inlineStr">
        <is>
          <t>[z] Not applicable</t>
        </is>
      </c>
    </row>
    <row r="17" ht="33.9" customHeight="1">
      <c r="A17" s="60" t="inlineStr">
        <is>
          <t>Percentage changes</t>
        </is>
      </c>
    </row>
    <row r="18">
      <c r="A18" s="61" t="inlineStr">
        <is>
          <t>A [z] symbol has been used in cases with one (or both) comparator value(s) less than 50.</t>
        </is>
      </c>
    </row>
    <row r="19" ht="33.9" customHeight="1">
      <c r="A19" s="60" t="inlineStr">
        <is>
          <t>Use of notes</t>
        </is>
      </c>
    </row>
    <row r="20">
      <c r="A20" s="61" t="inlineStr">
        <is>
          <t>Some tables refer to notes. When notes are mentioned, the note marker is presented in square brackets. The note text can be found in the 'Notes' table.</t>
        </is>
      </c>
    </row>
    <row r="21" ht="33.9" customHeight="1">
      <c r="A21" s="60" t="inlineStr">
        <is>
          <t>Disclosure control</t>
        </is>
      </c>
    </row>
    <row r="22">
      <c r="A22" s="61" t="inlineStr">
        <is>
          <t>Where necessary, [c] has been used to suppress values of one or two to prevent the disclosure of individual information. Further disclosure control may be completed where this alone is not sufficient.</t>
        </is>
      </c>
    </row>
    <row r="23" ht="33.9" customHeight="1">
      <c r="A23" s="60" t="inlineStr">
        <is>
          <t>Publication schedule</t>
        </is>
      </c>
    </row>
    <row r="24">
      <c r="A24" s="61" t="inlineStr">
        <is>
          <t>This release was published on Thursday 25 April 2024 at 9:30am, and covers prison population data as at 31 March 2024.</t>
        </is>
      </c>
    </row>
    <row r="25">
      <c r="A25" s="61" t="inlineStr">
        <is>
          <t>The next quarterly release will be published on Thursday 25 July 2024 at 9:30am, and will cover prison population data as at 30 June 2024.</t>
        </is>
      </c>
    </row>
    <row r="26">
      <c r="A26" s="61" t="inlineStr">
        <is>
          <t>Offender Management Statistics Quarterly is released every three months on the last working Thursday of January, April, July, and October.</t>
        </is>
      </c>
    </row>
    <row r="27" ht="33.9" customHeight="1">
      <c r="A27" s="60" t="inlineStr">
        <is>
          <t>Additional resources</t>
        </is>
      </c>
    </row>
    <row r="28">
      <c r="A28" s="61" t="inlineStr">
        <is>
          <t>Information about establishment predominant function and designation is published by HM Prison and Probation Service in 'Prisons and their resettlement providers'.</t>
        </is>
      </c>
    </row>
    <row r="29">
      <c r="A29" s="62" t="inlineStr">
        <is>
          <t>Link to 'Prisons and their resettlement providers' (opens in a new window)</t>
        </is>
      </c>
    </row>
    <row r="30">
      <c r="A30" s="61" t="inlineStr">
        <is>
          <t>Information about the youth estate is available in 'Youth justice statistics' and the 'Youth custody report'.</t>
        </is>
      </c>
    </row>
    <row r="31">
      <c r="A31" s="62" t="inlineStr">
        <is>
          <t>Link to 'Youth justice statistics' (opens in a new window)</t>
        </is>
      </c>
    </row>
    <row r="32">
      <c r="A32" s="62" t="inlineStr">
        <is>
          <t>Link to 'Youth custody report' (opens in a new window)</t>
        </is>
      </c>
    </row>
    <row r="33" ht="33.9" customHeight="1">
      <c r="A33" s="60" t="inlineStr">
        <is>
          <t>Media enquiries</t>
        </is>
      </c>
    </row>
    <row r="34">
      <c r="A34" s="61" t="inlineStr">
        <is>
          <t>Contact information for media enquiries can be found on the GOV.UK website.</t>
        </is>
      </c>
    </row>
    <row r="35">
      <c r="A35" s="62" t="inlineStr">
        <is>
          <t>Link to 'GOV.UK media enquiries' (opens in a new window)</t>
        </is>
      </c>
    </row>
    <row r="36" ht="33.9" customHeight="1">
      <c r="A36" s="60" t="inlineStr">
        <is>
          <t>Non-media enquiries</t>
        </is>
      </c>
    </row>
    <row r="37">
      <c r="A37" s="61" t="inlineStr">
        <is>
          <t>Email: OMSQ-SiC-publications@justice.gov.uk</t>
        </is>
      </c>
    </row>
    <row r="38" ht="33.9" customHeight="1">
      <c r="A38" s="60" t="inlineStr">
        <is>
          <t>Copyright</t>
        </is>
      </c>
    </row>
    <row r="39">
      <c r="A39" s="61" t="inlineStr">
        <is>
          <t>Crown copyright Produced by the Ministry of Justice</t>
        </is>
      </c>
    </row>
  </sheetData>
  <hyperlinks>
    <hyperlink xmlns:r="http://schemas.openxmlformats.org/officeDocument/2006/relationships" ref="A4" r:id="rId1"/>
    <hyperlink xmlns:r="http://schemas.openxmlformats.org/officeDocument/2006/relationships" ref="A29" r:id="rId2"/>
    <hyperlink xmlns:r="http://schemas.openxmlformats.org/officeDocument/2006/relationships" ref="A31" r:id="rId3"/>
    <hyperlink xmlns:r="http://schemas.openxmlformats.org/officeDocument/2006/relationships" ref="A32" r:id="rId4"/>
    <hyperlink xmlns:r="http://schemas.openxmlformats.org/officeDocument/2006/relationships" ref="A35" r:id="rId5"/>
  </hyperlinks>
  <pageMargins left="0.7000000000000001" right="0.7000000000000001" top="0.75" bottom="0.75" header="0.3" footer="0.3"/>
  <pageSetup orientation="portrait" paperSize="0" fitToHeight="0" fitToWidth="0" horizontalDpi="0" verticalDpi="0" copies="0"/>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B6" sqref="B6"/>
    </sheetView>
  </sheetViews>
  <sheetFormatPr baseColWidth="8" defaultRowHeight="14.4"/>
  <cols>
    <col width="16.33203125" customWidth="1" min="1" max="1"/>
    <col width="250.77734375" customWidth="1" min="2" max="2"/>
  </cols>
  <sheetData>
    <row r="1" ht="21" customHeight="1">
      <c r="A1" s="1" t="inlineStr">
        <is>
          <t>Contents</t>
        </is>
      </c>
    </row>
    <row r="2" ht="15.6" customHeight="1">
      <c r="A2" s="53" t="inlineStr">
        <is>
          <t>This worksheet contains one table.</t>
        </is>
      </c>
    </row>
    <row r="3" ht="15.6" customHeight="1">
      <c r="A3" s="51" t="inlineStr">
        <is>
          <t>Sheet Name</t>
        </is>
      </c>
      <c r="B3" s="51" t="inlineStr">
        <is>
          <t>Sheet Title</t>
        </is>
      </c>
    </row>
    <row r="4" ht="15.6" customHeight="1">
      <c r="A4" s="52">
        <f>HYPERLINK("#'Notes'!A1", "Notes")</f>
        <v/>
      </c>
      <c r="B4" s="53" t="inlineStr">
        <is>
          <t>Notes</t>
        </is>
      </c>
    </row>
    <row r="5" ht="15.6" customHeight="1">
      <c r="A5" s="52">
        <f>HYPERLINK("#'Table 1'!A1", "Table 1")</f>
        <v/>
      </c>
      <c r="B5" s="53">
        <f>'Table 1'!A$1</f>
        <v/>
      </c>
    </row>
    <row r="6" ht="15.6" customHeight="1">
      <c r="A6" s="52">
        <f>HYPERLINK("#'Table 2'!A1", "Table 2")</f>
        <v/>
      </c>
      <c r="B6" s="53">
        <f>'Table 2'!A$1</f>
        <v/>
      </c>
    </row>
    <row r="7" ht="15.6" customHeight="1">
      <c r="A7" s="52">
        <f>HYPERLINK("#'Table 3'!A1", "Table 3")</f>
        <v/>
      </c>
      <c r="B7" s="53">
        <f>'Table 3'!A$1</f>
        <v/>
      </c>
    </row>
    <row r="8" ht="15.6" customHeight="1">
      <c r="A8" s="52">
        <f>HYPERLINK("#'Table 4'!A1", "Table 4")</f>
        <v/>
      </c>
      <c r="B8" s="53">
        <f>'Table 4'!A$1</f>
        <v/>
      </c>
    </row>
    <row r="9" ht="15.6" customHeight="1">
      <c r="A9" s="52">
        <f>HYPERLINK("#'Table 5'!A1", "Table 5")</f>
        <v/>
      </c>
      <c r="B9" s="53">
        <f>'Table 5'!A$1</f>
        <v/>
      </c>
    </row>
    <row r="10" ht="15.6" customHeight="1">
      <c r="A10" s="52">
        <f>HYPERLINK("#'Table 6'!A1", "Table 6")</f>
        <v/>
      </c>
      <c r="B10" s="53">
        <f>'Table 6'!A$1</f>
        <v/>
      </c>
    </row>
    <row r="11" ht="15.6" customHeight="1">
      <c r="A11" s="52">
        <f>HYPERLINK("#'Table 7'!A1", "Table 7")</f>
        <v/>
      </c>
      <c r="B11" s="53">
        <f>'Table 7'!A$1</f>
        <v/>
      </c>
    </row>
    <row r="12" ht="15.6" customHeight="1">
      <c r="A12" s="52">
        <f>HYPERLINK("#'Table 8'!A1", "Table 8")</f>
        <v/>
      </c>
      <c r="B12" s="53">
        <f>'Table 8'!A$1</f>
        <v/>
      </c>
    </row>
    <row r="13" ht="15.6" customHeight="1">
      <c r="A13" s="52">
        <f>HYPERLINK("#'Table 9'!A1", "Table 9")</f>
        <v/>
      </c>
      <c r="B13" s="53">
        <f>'Table 9'!A$1</f>
        <v/>
      </c>
    </row>
    <row r="14" ht="15.6" customHeight="1">
      <c r="A14" s="52">
        <f>HYPERLINK("#'Table 10'!A1", "Table 10")</f>
        <v/>
      </c>
      <c r="B14" s="53">
        <f>'Table 10'!A$1</f>
        <v/>
      </c>
    </row>
    <row r="15" ht="15.6" customHeight="1">
      <c r="A15" s="52">
        <f>HYPERLINK("#'Table 11'!A1", "Table 11")</f>
        <v/>
      </c>
      <c r="B15" s="53">
        <f>'Table 11'!A$1</f>
        <v/>
      </c>
    </row>
    <row r="16" ht="15.6" customHeight="1">
      <c r="A16" s="52">
        <f>HYPERLINK("#'Table 12'!A1", "Table 12")</f>
        <v/>
      </c>
      <c r="B16" s="53">
        <f>'Table 12'!A$1</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9"/>
  <sheetViews>
    <sheetView workbookViewId="0">
      <selection activeCell="B9" sqref="B9"/>
    </sheetView>
  </sheetViews>
  <sheetFormatPr baseColWidth="8" defaultColWidth="14.44140625" defaultRowHeight="15"/>
  <cols>
    <col width="20.77734375" customWidth="1" style="55" min="1" max="1"/>
    <col width="225.77734375" customWidth="1" style="55" min="2" max="2"/>
    <col width="14.44140625" customWidth="1" style="55" min="3" max="3"/>
    <col width="14.44140625" customWidth="1" style="55" min="4" max="16384"/>
  </cols>
  <sheetData>
    <row r="1" ht="21" customHeight="1">
      <c r="A1" s="54" t="inlineStr">
        <is>
          <t>Notes</t>
        </is>
      </c>
    </row>
    <row r="2">
      <c r="A2" s="55" t="inlineStr">
        <is>
          <t>This worksheet contains one table.</t>
        </is>
      </c>
    </row>
    <row r="3">
      <c r="A3" s="56">
        <f>HYPERLINK("#'Contents'!A1", "Link to Contents tab")</f>
        <v/>
      </c>
    </row>
    <row r="4" ht="15.6" customHeight="1">
      <c r="A4" s="57" t="inlineStr">
        <is>
          <t>Note</t>
        </is>
      </c>
      <c r="B4" s="57" t="inlineStr">
        <is>
          <t>Description</t>
        </is>
      </c>
    </row>
    <row r="5">
      <c r="A5" s="58" t="inlineStr">
        <is>
          <t>[note 1]</t>
        </is>
      </c>
      <c r="B5" s="58" t="inlineStr">
        <is>
          <t>HDC recalls refer to recalls during home detention curfew period</t>
        </is>
      </c>
    </row>
    <row r="6">
      <c r="A6" s="58" t="inlineStr">
        <is>
          <t>[note 2]</t>
        </is>
      </c>
      <c r="B6" s="58" t="inlineStr">
        <is>
          <t>In June 2021, CRCs were transferred into Probation Service.</t>
        </is>
      </c>
    </row>
    <row r="7">
      <c r="A7" s="58" t="inlineStr">
        <is>
          <t>[note 3]</t>
        </is>
      </c>
      <c r="B7" s="58" t="inlineStr">
        <is>
          <t>There is an emergency process for all indeterminate recalls.</t>
        </is>
      </c>
    </row>
    <row r="8">
      <c r="A8" s="58" t="inlineStr">
        <is>
          <t>[note 4]</t>
        </is>
      </c>
      <c r="B8" s="58" t="inlineStr">
        <is>
          <t>Offenders are returned in target time if the end-to-end process takes less than 74 hours for emergency process recalls and less than 144 hours (6 days) for standard process recalls.</t>
        </is>
      </c>
    </row>
    <row r="9" ht="30" customHeight="1">
      <c r="A9" s="58" t="inlineStr">
        <is>
          <t>[note 5]</t>
        </is>
      </c>
      <c r="B9" s="58" t="inlineStr">
        <is>
          <t>The figures for Secure Children's Homes and Secure Training Centres may not match the monthly custody figures within the 'Youth custody data' publication (link on the cover page). This is due to different methodologies and snapshot dates.</t>
        </is>
      </c>
    </row>
  </sheetData>
  <pageMargins left="0.7000000000000001" right="0.7000000000000001" top="0.75" bottom="0.75" header="0.3" footer="0.3"/>
  <pageSetup orientation="portrait" paperSize="0" fitToHeight="0" fitToWidth="0" horizontalDpi="0" verticalDpi="0" copies="0"/>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2" sqref="A2"/>
    </sheetView>
  </sheetViews>
  <sheetFormatPr baseColWidth="8" defaultRowHeight="14.4"/>
  <cols>
    <col width="79.88671875" customWidth="1" min="1" max="1"/>
    <col width="32.77734375" customWidth="1" min="2" max="2"/>
    <col width="32.6640625" customWidth="1" min="3" max="3"/>
    <col width="33" customWidth="1" min="4" max="4"/>
    <col width="31.21875" customWidth="1" min="5" max="5"/>
    <col width="32.6640625" customWidth="1" min="6" max="6"/>
  </cols>
  <sheetData>
    <row r="1" ht="21" customHeight="1">
      <c r="A1" s="1" t="inlineStr">
        <is>
          <t>Table 1: Time series: number of recalls, returns to custody and offenders not returned to custody, England and Wales</t>
        </is>
      </c>
    </row>
    <row r="2" ht="15.6" customHeight="1">
      <c r="A2" s="2" t="inlineStr">
        <is>
          <t>This worksheet contains one table.</t>
        </is>
      </c>
    </row>
    <row r="3" ht="15.6" customHeight="1">
      <c r="A3" s="3" t="inlineStr">
        <is>
          <t>Link to Contents tab</t>
        </is>
      </c>
    </row>
    <row r="4" ht="15.6" customHeight="1">
      <c r="A4" s="2" t="inlineStr">
        <is>
          <t>Source: Public Protection Unit Database (PPUD)</t>
        </is>
      </c>
    </row>
    <row r="5" ht="46.8" customHeight="1">
      <c r="A5" s="20" t="inlineStr">
        <is>
          <t>Summary item</t>
        </is>
      </c>
      <c r="B5" s="21" t="inlineStr">
        <is>
          <t>Recall period Oct to Dec 2022 status on 31 Mar 2023</t>
        </is>
      </c>
      <c r="C5" s="21" t="inlineStr">
        <is>
          <t>Recall period Jan to Mar 2023 status on 30 Jun 2023</t>
        </is>
      </c>
      <c r="D5" s="21" t="inlineStr">
        <is>
          <t>Recall period Apr to Jun 2023 status on 30 Sep 2023</t>
        </is>
      </c>
      <c r="E5" s="21" t="inlineStr">
        <is>
          <t>Recall period Jul to Sep 2023 status on 31 Dec 2023</t>
        </is>
      </c>
      <c r="F5" s="21" t="inlineStr">
        <is>
          <t>Recall period Oct to Dec 2023 status on 31 Mar 2024</t>
        </is>
      </c>
    </row>
    <row r="6" ht="24.9" customHeight="1">
      <c r="A6" s="22" t="inlineStr">
        <is>
          <t>Total recalls from April 1999 to end of recall period</t>
        </is>
      </c>
      <c r="B6" s="23" t="n">
        <v>372298</v>
      </c>
      <c r="C6" s="23" t="n">
        <v>379122</v>
      </c>
      <c r="D6" s="23" t="n">
        <v>385936</v>
      </c>
      <c r="E6" s="23" t="n">
        <v>392966</v>
      </c>
      <c r="F6" s="23" t="n">
        <v>400118</v>
      </c>
    </row>
    <row r="7" ht="15.6" customHeight="1">
      <c r="A7" s="22" t="inlineStr">
        <is>
          <t>Total recalls in recall period</t>
        </is>
      </c>
      <c r="B7" s="23" t="n">
        <v>6092</v>
      </c>
      <c r="C7" s="23" t="n">
        <v>6824</v>
      </c>
      <c r="D7" s="23" t="n">
        <v>6814</v>
      </c>
      <c r="E7" s="23" t="n">
        <v>7030</v>
      </c>
      <c r="F7" s="23" t="n">
        <v>7152</v>
      </c>
    </row>
    <row r="8" ht="24.9" customHeight="1">
      <c r="A8" s="22" t="inlineStr">
        <is>
          <t>Total returns to custody from April 1999 to status date</t>
        </is>
      </c>
      <c r="B8" s="23" t="n">
        <v>370080</v>
      </c>
      <c r="C8" s="23" t="n">
        <v>376853</v>
      </c>
      <c r="D8" s="23" t="n">
        <v>383634</v>
      </c>
      <c r="E8" s="23" t="n">
        <v>390605</v>
      </c>
      <c r="F8" s="23" t="n">
        <v>397717</v>
      </c>
    </row>
    <row r="9" ht="15" customFormat="1" customHeight="1" s="22">
      <c r="A9" s="22" t="inlineStr">
        <is>
          <t>Percentage returned of recalls since April 1999</t>
        </is>
      </c>
      <c r="B9" s="49" t="n">
        <v>0.9940424068891049</v>
      </c>
      <c r="C9" s="49" t="n">
        <v>0.9940151191437058</v>
      </c>
      <c r="D9" s="49" t="n">
        <v>0.9940352804610091</v>
      </c>
      <c r="E9" s="49" t="n">
        <v>0.993991846622863</v>
      </c>
      <c r="F9" s="49" t="n">
        <v>0.9939992702152864</v>
      </c>
    </row>
    <row r="10" ht="15" customFormat="1" customHeight="1" s="47">
      <c r="A10" s="47" t="inlineStr">
        <is>
          <t>Returns from start of recall period to status date</t>
        </is>
      </c>
      <c r="B10" s="23" t="n">
        <v>6081</v>
      </c>
      <c r="C10" s="23" t="n">
        <v>6773</v>
      </c>
      <c r="D10" s="23" t="n">
        <v>6781</v>
      </c>
      <c r="E10" s="23" t="n">
        <v>6971</v>
      </c>
      <c r="F10" s="23" t="n">
        <v>7112</v>
      </c>
    </row>
    <row r="11" ht="15.6" customHeight="1">
      <c r="A11" s="22" t="inlineStr">
        <is>
          <t>Returns from start of recall period to status date after recall in recall period</t>
        </is>
      </c>
      <c r="B11" s="23" t="n">
        <v>5842</v>
      </c>
      <c r="C11" s="23" t="n">
        <v>6549</v>
      </c>
      <c r="D11" s="23" t="n">
        <v>6552</v>
      </c>
      <c r="E11" s="23" t="n">
        <v>6747</v>
      </c>
      <c r="F11" s="23" t="n">
        <v>6870</v>
      </c>
    </row>
    <row r="12" ht="15.6" customHeight="1">
      <c r="A12" s="22" t="inlineStr">
        <is>
          <t>Returns from start of recall period to status date after recall before recall period</t>
        </is>
      </c>
      <c r="B12" s="23" t="n">
        <v>239</v>
      </c>
      <c r="C12" s="23" t="n">
        <v>224</v>
      </c>
      <c r="D12" s="23" t="n">
        <v>229</v>
      </c>
      <c r="E12" s="23" t="n">
        <v>224</v>
      </c>
      <c r="F12" s="23" t="n">
        <v>242</v>
      </c>
    </row>
    <row r="13" ht="24.9" customHeight="1">
      <c r="A13" s="22" t="inlineStr">
        <is>
          <t>Offenders not returned from April 1999 to status date</t>
        </is>
      </c>
      <c r="B13" s="23" t="n">
        <v>2218</v>
      </c>
      <c r="C13" s="23" t="n">
        <v>2269</v>
      </c>
      <c r="D13" s="23" t="n">
        <v>2302</v>
      </c>
      <c r="E13" s="23" t="n">
        <v>2361</v>
      </c>
      <c r="F13" s="23" t="n">
        <v>2401</v>
      </c>
    </row>
    <row r="14" ht="15.6" customHeight="1">
      <c r="A14" s="22" t="inlineStr">
        <is>
          <t>Percentage not returned of recalls since April 1999</t>
        </is>
      </c>
      <c r="B14" s="50" t="n">
        <v>0.005957593110895036</v>
      </c>
      <c r="C14" s="50" t="n">
        <v>0.00598488085629428</v>
      </c>
      <c r="D14" s="50" t="n">
        <v>0.005964719538990921</v>
      </c>
      <c r="E14" s="50" t="n">
        <v>0.006008153377136953</v>
      </c>
      <c r="F14" s="50" t="n">
        <v>0.006000729784713509</v>
      </c>
    </row>
    <row r="15" ht="24.9" customHeight="1">
      <c r="A15" s="22" t="inlineStr">
        <is>
          <t>Offenders not returned from 1984 to status date</t>
        </is>
      </c>
      <c r="B15" s="23" t="n">
        <v>2234</v>
      </c>
      <c r="C15" s="23" t="n">
        <v>2284</v>
      </c>
      <c r="D15" s="23" t="n">
        <v>2317</v>
      </c>
      <c r="E15" s="23" t="n">
        <v>2376</v>
      </c>
      <c r="F15" s="23" t="n">
        <v>2416</v>
      </c>
    </row>
    <row r="16" ht="15.6" customHeight="1">
      <c r="A16" s="22" t="inlineStr">
        <is>
          <t>Offenders not returned after recall before April 1999</t>
        </is>
      </c>
      <c r="B16" s="23" t="n">
        <v>16</v>
      </c>
      <c r="C16" s="23" t="n">
        <v>15</v>
      </c>
      <c r="D16" s="23" t="n">
        <v>15</v>
      </c>
      <c r="E16" s="23" t="n">
        <v>15</v>
      </c>
      <c r="F16" s="23" t="n">
        <v>15</v>
      </c>
    </row>
  </sheetData>
  <hyperlinks>
    <hyperlink ref="A3" location="Contents!A1" display="Link to Contents tab"/>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20" customWidth="1" min="1" max="1"/>
    <col width="36" customWidth="1" min="2" max="2"/>
    <col width="22" customWidth="1" min="3" max="3"/>
    <col width="20" customWidth="1" min="4" max="4"/>
    <col width="20" customWidth="1" min="5" max="5"/>
    <col width="20" customWidth="1" min="6" max="6"/>
    <col width="20" customWidth="1" min="7" max="7"/>
    <col width="20" customWidth="1" min="8" max="8"/>
  </cols>
  <sheetData>
    <row r="1">
      <c r="A1" s="64" t="inlineStr">
        <is>
          <t>Table 2: Time series: number of recalls from licence, by sex, sentence type, and recall category, England and Wales [note 1]</t>
        </is>
      </c>
    </row>
    <row r="2">
      <c r="A2" s="65" t="inlineStr">
        <is>
          <t>This worksheet contains one table.</t>
        </is>
      </c>
    </row>
    <row r="3">
      <c r="A3" s="66" t="inlineStr">
        <is>
          <t>Link to Contents tab</t>
        </is>
      </c>
    </row>
    <row r="4">
      <c r="A4" s="65" t="inlineStr">
        <is>
          <t>Source: Public Protection Unit Database (PPUD)</t>
        </is>
      </c>
    </row>
    <row r="5" ht="46.8" customHeight="1">
      <c r="A5" s="67" t="inlineStr">
        <is>
          <t>Sex</t>
        </is>
      </c>
      <c r="B5" s="67" t="inlineStr">
        <is>
          <t>Sentence type</t>
        </is>
      </c>
      <c r="C5" s="67" t="inlineStr">
        <is>
          <t>Recall category</t>
        </is>
      </c>
      <c r="D5" s="68" t="inlineStr">
        <is>
          <t>Jan to Mar 2023</t>
        </is>
      </c>
      <c r="E5" s="68" t="inlineStr">
        <is>
          <t>Apr to Jun 2023</t>
        </is>
      </c>
      <c r="F5" s="68" t="inlineStr">
        <is>
          <t>Jul to Sep 2023</t>
        </is>
      </c>
      <c r="G5" s="68" t="inlineStr">
        <is>
          <t>Oct to Dec 2023</t>
        </is>
      </c>
      <c r="H5" s="68" t="inlineStr">
        <is>
          <t>Jan to Mar 2024</t>
        </is>
      </c>
    </row>
    <row r="6" ht="24.9" customHeight="1">
      <c r="A6" s="69" t="inlineStr">
        <is>
          <t>Male and female</t>
        </is>
      </c>
      <c r="B6" s="69" t="inlineStr">
        <is>
          <t>All sentence types</t>
        </is>
      </c>
      <c r="C6" s="69" t="inlineStr">
        <is>
          <t>All recalls</t>
        </is>
      </c>
      <c r="D6" s="70" t="n">
        <v>6824</v>
      </c>
      <c r="E6" s="70" t="n">
        <v>6814</v>
      </c>
      <c r="F6" s="70" t="n">
        <v>7030</v>
      </c>
      <c r="G6" s="70" t="n">
        <v>7152</v>
      </c>
      <c r="H6" s="70" t="n">
        <v>7415</v>
      </c>
    </row>
    <row r="7">
      <c r="A7" s="69" t="inlineStr">
        <is>
          <t>Male and female</t>
        </is>
      </c>
      <c r="B7" s="69" t="inlineStr">
        <is>
          <t>All sentence types</t>
        </is>
      </c>
      <c r="C7" s="69" t="inlineStr">
        <is>
          <t>Non-HDC</t>
        </is>
      </c>
      <c r="D7" s="70" t="n">
        <v>6525</v>
      </c>
      <c r="E7" s="70" t="n">
        <v>6460</v>
      </c>
      <c r="F7" s="70" t="n">
        <v>6645</v>
      </c>
      <c r="G7" s="70" t="n">
        <v>6753</v>
      </c>
      <c r="H7" s="70" t="n">
        <v>7036</v>
      </c>
    </row>
    <row r="8">
      <c r="A8" s="69" t="inlineStr">
        <is>
          <t>Male and female</t>
        </is>
      </c>
      <c r="B8" s="69" t="inlineStr">
        <is>
          <t>All sentence types</t>
        </is>
      </c>
      <c r="C8" s="69" t="inlineStr">
        <is>
          <t>HDC</t>
        </is>
      </c>
      <c r="D8" s="70" t="n">
        <v>299</v>
      </c>
      <c r="E8" s="70" t="n">
        <v>354</v>
      </c>
      <c r="F8" s="70" t="n">
        <v>385</v>
      </c>
      <c r="G8" s="70" t="n">
        <v>399</v>
      </c>
      <c r="H8" s="70" t="n">
        <v>379</v>
      </c>
    </row>
    <row r="9" ht="24.9" customHeight="1">
      <c r="A9" s="69" t="inlineStr">
        <is>
          <t>Male and female</t>
        </is>
      </c>
      <c r="B9" s="69" t="inlineStr">
        <is>
          <t>Determinate less than 12 months</t>
        </is>
      </c>
      <c r="C9" s="69" t="inlineStr">
        <is>
          <t>All recalls</t>
        </is>
      </c>
      <c r="D9" s="70" t="n">
        <v>2691</v>
      </c>
      <c r="E9" s="70" t="n">
        <v>2733</v>
      </c>
      <c r="F9" s="70" t="n">
        <v>2881</v>
      </c>
      <c r="G9" s="70" t="n">
        <v>3025</v>
      </c>
      <c r="H9" s="70" t="n">
        <v>3218</v>
      </c>
    </row>
    <row r="10">
      <c r="A10" s="69" t="inlineStr">
        <is>
          <t>Male and female</t>
        </is>
      </c>
      <c r="B10" s="69" t="inlineStr">
        <is>
          <t>Determinate less than 12 months</t>
        </is>
      </c>
      <c r="C10" s="69" t="inlineStr">
        <is>
          <t>Non-HDC</t>
        </is>
      </c>
      <c r="D10" s="70" t="n">
        <v>2667</v>
      </c>
      <c r="E10" s="70" t="n">
        <v>2709</v>
      </c>
      <c r="F10" s="70" t="n">
        <v>2854</v>
      </c>
      <c r="G10" s="70" t="n">
        <v>3004</v>
      </c>
      <c r="H10" s="70" t="n">
        <v>3204</v>
      </c>
    </row>
    <row r="11">
      <c r="A11" s="69" t="inlineStr">
        <is>
          <t>Male and female</t>
        </is>
      </c>
      <c r="B11" s="69" t="inlineStr">
        <is>
          <t>Determinate less than 12 months</t>
        </is>
      </c>
      <c r="C11" s="69" t="inlineStr">
        <is>
          <t>HDC</t>
        </is>
      </c>
      <c r="D11" s="70" t="n">
        <v>24</v>
      </c>
      <c r="E11" s="70" t="n">
        <v>24</v>
      </c>
      <c r="F11" s="70" t="n">
        <v>27</v>
      </c>
      <c r="G11" s="70" t="n">
        <v>21</v>
      </c>
      <c r="H11" s="70" t="n">
        <v>14</v>
      </c>
    </row>
    <row r="12" ht="24.9" customHeight="1">
      <c r="A12" s="69" t="inlineStr">
        <is>
          <t>Male and female</t>
        </is>
      </c>
      <c r="B12" s="69" t="inlineStr">
        <is>
          <t>Determinate 12 months or more</t>
        </is>
      </c>
      <c r="C12" s="69" t="inlineStr">
        <is>
          <t>All recalls</t>
        </is>
      </c>
      <c r="D12" s="70" t="n">
        <v>3849</v>
      </c>
      <c r="E12" s="70" t="n">
        <v>3810</v>
      </c>
      <c r="F12" s="70" t="n">
        <v>3891</v>
      </c>
      <c r="G12" s="70" t="n">
        <v>3908</v>
      </c>
      <c r="H12" s="70" t="n">
        <v>3986</v>
      </c>
    </row>
    <row r="13">
      <c r="A13" s="69" t="inlineStr">
        <is>
          <t>Male and female</t>
        </is>
      </c>
      <c r="B13" s="69" t="inlineStr">
        <is>
          <t>Determinate 12 months or more</t>
        </is>
      </c>
      <c r="C13" s="69" t="inlineStr">
        <is>
          <t>Non-HDC</t>
        </is>
      </c>
      <c r="D13" s="70" t="n">
        <v>3574</v>
      </c>
      <c r="E13" s="70" t="n">
        <v>3480</v>
      </c>
      <c r="F13" s="70" t="n">
        <v>3533</v>
      </c>
      <c r="G13" s="70" t="n">
        <v>3530</v>
      </c>
      <c r="H13" s="70" t="n">
        <v>3621</v>
      </c>
    </row>
    <row r="14">
      <c r="A14" s="69" t="inlineStr">
        <is>
          <t>Male and female</t>
        </is>
      </c>
      <c r="B14" s="69" t="inlineStr">
        <is>
          <t>Determinate 12 months or more</t>
        </is>
      </c>
      <c r="C14" s="69" t="inlineStr">
        <is>
          <t>HDC</t>
        </is>
      </c>
      <c r="D14" s="70" t="n">
        <v>275</v>
      </c>
      <c r="E14" s="70" t="n">
        <v>330</v>
      </c>
      <c r="F14" s="70" t="n">
        <v>358</v>
      </c>
      <c r="G14" s="70" t="n">
        <v>378</v>
      </c>
      <c r="H14" s="70" t="n">
        <v>365</v>
      </c>
    </row>
    <row r="15" ht="24.9" customHeight="1">
      <c r="A15" s="69" t="inlineStr">
        <is>
          <t>Male and female</t>
        </is>
      </c>
      <c r="B15" s="69" t="inlineStr">
        <is>
          <t>IPP</t>
        </is>
      </c>
      <c r="C15" s="69" t="inlineStr">
        <is>
          <t>All recalls</t>
        </is>
      </c>
      <c r="D15" s="70" t="n">
        <v>181</v>
      </c>
      <c r="E15" s="70" t="n">
        <v>168</v>
      </c>
      <c r="F15" s="70" t="n">
        <v>175</v>
      </c>
      <c r="G15" s="70" t="n">
        <v>134</v>
      </c>
      <c r="H15" s="70" t="n">
        <v>144</v>
      </c>
    </row>
    <row r="16">
      <c r="A16" s="69" t="inlineStr">
        <is>
          <t>Male and female</t>
        </is>
      </c>
      <c r="B16" s="69" t="inlineStr">
        <is>
          <t>IPP</t>
        </is>
      </c>
      <c r="C16" s="69" t="inlineStr">
        <is>
          <t>Non-HDC</t>
        </is>
      </c>
      <c r="D16" s="70" t="n">
        <v>181</v>
      </c>
      <c r="E16" s="70" t="n">
        <v>168</v>
      </c>
      <c r="F16" s="70" t="n">
        <v>175</v>
      </c>
      <c r="G16" s="70" t="n">
        <v>134</v>
      </c>
      <c r="H16" s="70" t="n">
        <v>144</v>
      </c>
    </row>
    <row r="17">
      <c r="A17" s="69" t="inlineStr">
        <is>
          <t>Male and female</t>
        </is>
      </c>
      <c r="B17" s="69" t="inlineStr">
        <is>
          <t>IPP</t>
        </is>
      </c>
      <c r="C17" s="69" t="inlineStr">
        <is>
          <t>HDC</t>
        </is>
      </c>
      <c r="D17" s="70" t="n">
        <v>0</v>
      </c>
      <c r="E17" s="70" t="n">
        <v>0</v>
      </c>
      <c r="F17" s="70" t="n">
        <v>0</v>
      </c>
      <c r="G17" s="70" t="n">
        <v>0</v>
      </c>
      <c r="H17" s="70" t="n">
        <v>0</v>
      </c>
    </row>
    <row r="18" ht="24.9" customHeight="1">
      <c r="A18" s="69" t="inlineStr">
        <is>
          <t>Male and female</t>
        </is>
      </c>
      <c r="B18" s="69" t="inlineStr">
        <is>
          <t>Life sentence</t>
        </is>
      </c>
      <c r="C18" s="69" t="inlineStr">
        <is>
          <t>All recalls</t>
        </is>
      </c>
      <c r="D18" s="70" t="n">
        <v>103</v>
      </c>
      <c r="E18" s="70" t="n">
        <v>103</v>
      </c>
      <c r="F18" s="70" t="n">
        <v>83</v>
      </c>
      <c r="G18" s="70" t="n">
        <v>85</v>
      </c>
      <c r="H18" s="70" t="n">
        <v>67</v>
      </c>
    </row>
    <row r="19">
      <c r="A19" s="69" t="inlineStr">
        <is>
          <t>Male and female</t>
        </is>
      </c>
      <c r="B19" s="69" t="inlineStr">
        <is>
          <t>Life sentence</t>
        </is>
      </c>
      <c r="C19" s="69" t="inlineStr">
        <is>
          <t>Non-HDC</t>
        </is>
      </c>
      <c r="D19" s="70" t="n">
        <v>103</v>
      </c>
      <c r="E19" s="70" t="n">
        <v>103</v>
      </c>
      <c r="F19" s="70" t="n">
        <v>83</v>
      </c>
      <c r="G19" s="70" t="n">
        <v>85</v>
      </c>
      <c r="H19" s="70" t="n">
        <v>67</v>
      </c>
    </row>
    <row r="20">
      <c r="A20" s="69" t="inlineStr">
        <is>
          <t>Male and female</t>
        </is>
      </c>
      <c r="B20" s="69" t="inlineStr">
        <is>
          <t>Life sentence</t>
        </is>
      </c>
      <c r="C20" s="69" t="inlineStr">
        <is>
          <t>HDC</t>
        </is>
      </c>
      <c r="D20" s="70" t="n">
        <v>0</v>
      </c>
      <c r="E20" s="70" t="n">
        <v>0</v>
      </c>
      <c r="F20" s="70" t="n">
        <v>0</v>
      </c>
      <c r="G20" s="70" t="n">
        <v>0</v>
      </c>
      <c r="H20" s="70" t="n">
        <v>0</v>
      </c>
    </row>
    <row r="21" ht="24.9" customHeight="1">
      <c r="A21" s="69" t="inlineStr">
        <is>
          <t>Male</t>
        </is>
      </c>
      <c r="B21" s="69" t="inlineStr">
        <is>
          <t>All sentence types</t>
        </is>
      </c>
      <c r="C21" s="69" t="inlineStr">
        <is>
          <t>All recalls</t>
        </is>
      </c>
      <c r="D21" s="70" t="n">
        <v>6362</v>
      </c>
      <c r="E21" s="70" t="n">
        <v>6337</v>
      </c>
      <c r="F21" s="70" t="n">
        <v>6489</v>
      </c>
      <c r="G21" s="70" t="n">
        <v>6573</v>
      </c>
      <c r="H21" s="70" t="n">
        <v>6852</v>
      </c>
    </row>
    <row r="22">
      <c r="A22" s="69" t="inlineStr">
        <is>
          <t>Male</t>
        </is>
      </c>
      <c r="B22" s="69" t="inlineStr">
        <is>
          <t>All sentence types</t>
        </is>
      </c>
      <c r="C22" s="69" t="inlineStr">
        <is>
          <t>Non-HDC</t>
        </is>
      </c>
      <c r="D22" s="70" t="n">
        <v>6114</v>
      </c>
      <c r="E22" s="70" t="n">
        <v>6037</v>
      </c>
      <c r="F22" s="70" t="n">
        <v>6152</v>
      </c>
      <c r="G22" s="70" t="n">
        <v>6232</v>
      </c>
      <c r="H22" s="70" t="n">
        <v>6539</v>
      </c>
    </row>
    <row r="23">
      <c r="A23" s="69" t="inlineStr">
        <is>
          <t>Male</t>
        </is>
      </c>
      <c r="B23" s="69" t="inlineStr">
        <is>
          <t>All sentence types</t>
        </is>
      </c>
      <c r="C23" s="69" t="inlineStr">
        <is>
          <t>HDC</t>
        </is>
      </c>
      <c r="D23" s="70" t="n">
        <v>248</v>
      </c>
      <c r="E23" s="70" t="n">
        <v>300</v>
      </c>
      <c r="F23" s="70" t="n">
        <v>337</v>
      </c>
      <c r="G23" s="70" t="n">
        <v>341</v>
      </c>
      <c r="H23" s="70" t="n">
        <v>313</v>
      </c>
    </row>
    <row r="24" ht="24.9" customHeight="1">
      <c r="A24" s="69" t="inlineStr">
        <is>
          <t>Male</t>
        </is>
      </c>
      <c r="B24" s="69" t="inlineStr">
        <is>
          <t>Determinate less than 12 months</t>
        </is>
      </c>
      <c r="C24" s="69" t="inlineStr">
        <is>
          <t>All recalls</t>
        </is>
      </c>
      <c r="D24" s="70" t="n">
        <v>2444</v>
      </c>
      <c r="E24" s="70" t="n">
        <v>2462</v>
      </c>
      <c r="F24" s="70" t="n">
        <v>2572</v>
      </c>
      <c r="G24" s="70" t="n">
        <v>2709</v>
      </c>
      <c r="H24" s="70" t="n">
        <v>2901</v>
      </c>
    </row>
    <row r="25">
      <c r="A25" s="69" t="inlineStr">
        <is>
          <t>Male</t>
        </is>
      </c>
      <c r="B25" s="69" t="inlineStr">
        <is>
          <t>Determinate less than 12 months</t>
        </is>
      </c>
      <c r="C25" s="69" t="inlineStr">
        <is>
          <t>Non-HDC</t>
        </is>
      </c>
      <c r="D25" s="70" t="n">
        <v>2423</v>
      </c>
      <c r="E25" s="70" t="n">
        <v>2442</v>
      </c>
      <c r="F25" s="70" t="n">
        <v>2550</v>
      </c>
      <c r="G25" s="70" t="n">
        <v>2693</v>
      </c>
      <c r="H25" s="70" t="n">
        <v>2891</v>
      </c>
    </row>
    <row r="26">
      <c r="A26" s="69" t="inlineStr">
        <is>
          <t>Male</t>
        </is>
      </c>
      <c r="B26" s="69" t="inlineStr">
        <is>
          <t>Determinate less than 12 months</t>
        </is>
      </c>
      <c r="C26" s="69" t="inlineStr">
        <is>
          <t>HDC</t>
        </is>
      </c>
      <c r="D26" s="70" t="n">
        <v>21</v>
      </c>
      <c r="E26" s="70" t="n">
        <v>20</v>
      </c>
      <c r="F26" s="70" t="n">
        <v>22</v>
      </c>
      <c r="G26" s="70" t="n">
        <v>16</v>
      </c>
      <c r="H26" s="70" t="n">
        <v>10</v>
      </c>
    </row>
    <row r="27" ht="24.9" customHeight="1">
      <c r="A27" s="69" t="inlineStr">
        <is>
          <t>Male</t>
        </is>
      </c>
      <c r="B27" s="69" t="inlineStr">
        <is>
          <t>Determinate 12 months or more</t>
        </is>
      </c>
      <c r="C27" s="69" t="inlineStr">
        <is>
          <t>All recalls</t>
        </is>
      </c>
      <c r="D27" s="70" t="n">
        <v>3638</v>
      </c>
      <c r="E27" s="70" t="n">
        <v>3610</v>
      </c>
      <c r="F27" s="70" t="n">
        <v>3664</v>
      </c>
      <c r="G27" s="70" t="n">
        <v>3656</v>
      </c>
      <c r="H27" s="70" t="n">
        <v>3745</v>
      </c>
    </row>
    <row r="28">
      <c r="A28" s="69" t="inlineStr">
        <is>
          <t>Male</t>
        </is>
      </c>
      <c r="B28" s="69" t="inlineStr">
        <is>
          <t>Determinate 12 months or more</t>
        </is>
      </c>
      <c r="C28" s="69" t="inlineStr">
        <is>
          <t>Non-HDC</t>
        </is>
      </c>
      <c r="D28" s="70" t="n">
        <v>3411</v>
      </c>
      <c r="E28" s="70" t="n">
        <v>3330</v>
      </c>
      <c r="F28" s="70" t="n">
        <v>3349</v>
      </c>
      <c r="G28" s="70" t="n">
        <v>3331</v>
      </c>
      <c r="H28" s="70" t="n">
        <v>3442</v>
      </c>
    </row>
    <row r="29">
      <c r="A29" s="69" t="inlineStr">
        <is>
          <t>Male</t>
        </is>
      </c>
      <c r="B29" s="69" t="inlineStr">
        <is>
          <t>Determinate 12 months or more</t>
        </is>
      </c>
      <c r="C29" s="69" t="inlineStr">
        <is>
          <t>HDC</t>
        </is>
      </c>
      <c r="D29" s="70" t="n">
        <v>227</v>
      </c>
      <c r="E29" s="70" t="n">
        <v>280</v>
      </c>
      <c r="F29" s="70" t="n">
        <v>315</v>
      </c>
      <c r="G29" s="70" t="n">
        <v>325</v>
      </c>
      <c r="H29" s="70" t="n">
        <v>303</v>
      </c>
    </row>
    <row r="30" ht="24.9" customHeight="1">
      <c r="A30" s="69" t="inlineStr">
        <is>
          <t>Male</t>
        </is>
      </c>
      <c r="B30" s="69" t="inlineStr">
        <is>
          <t>IPP</t>
        </is>
      </c>
      <c r="C30" s="69" t="inlineStr">
        <is>
          <t>All recalls</t>
        </is>
      </c>
      <c r="D30" s="70" t="n">
        <v>177</v>
      </c>
      <c r="E30" s="70" t="n">
        <v>164</v>
      </c>
      <c r="F30" s="70" t="n">
        <v>171</v>
      </c>
      <c r="G30" s="70" t="n">
        <v>127</v>
      </c>
      <c r="H30" s="70" t="n">
        <v>141</v>
      </c>
    </row>
    <row r="31">
      <c r="A31" s="69" t="inlineStr">
        <is>
          <t>Male</t>
        </is>
      </c>
      <c r="B31" s="69" t="inlineStr">
        <is>
          <t>IPP</t>
        </is>
      </c>
      <c r="C31" s="69" t="inlineStr">
        <is>
          <t>Non-HDC</t>
        </is>
      </c>
      <c r="D31" s="70" t="n">
        <v>177</v>
      </c>
      <c r="E31" s="70" t="n">
        <v>164</v>
      </c>
      <c r="F31" s="70" t="n">
        <v>171</v>
      </c>
      <c r="G31" s="70" t="n">
        <v>127</v>
      </c>
      <c r="H31" s="70" t="n">
        <v>141</v>
      </c>
    </row>
    <row r="32">
      <c r="A32" s="69" t="inlineStr">
        <is>
          <t>Male</t>
        </is>
      </c>
      <c r="B32" s="69" t="inlineStr">
        <is>
          <t>IPP</t>
        </is>
      </c>
      <c r="C32" s="69" t="inlineStr">
        <is>
          <t>HDC</t>
        </is>
      </c>
      <c r="D32" s="70" t="n">
        <v>0</v>
      </c>
      <c r="E32" s="70" t="n">
        <v>0</v>
      </c>
      <c r="F32" s="70" t="n">
        <v>0</v>
      </c>
      <c r="G32" s="70" t="n">
        <v>0</v>
      </c>
      <c r="H32" s="70" t="n">
        <v>0</v>
      </c>
    </row>
    <row r="33" ht="24.9" customHeight="1">
      <c r="A33" s="69" t="inlineStr">
        <is>
          <t>Male</t>
        </is>
      </c>
      <c r="B33" s="69" t="inlineStr">
        <is>
          <t>Life sentence</t>
        </is>
      </c>
      <c r="C33" s="69" t="inlineStr">
        <is>
          <t>All recalls</t>
        </is>
      </c>
      <c r="D33" s="70" t="n">
        <v>103</v>
      </c>
      <c r="E33" s="70" t="n">
        <v>101</v>
      </c>
      <c r="F33" s="70" t="n">
        <v>82</v>
      </c>
      <c r="G33" s="70" t="n">
        <v>81</v>
      </c>
      <c r="H33" s="70" t="n">
        <v>65</v>
      </c>
    </row>
    <row r="34">
      <c r="A34" s="69" t="inlineStr">
        <is>
          <t>Male</t>
        </is>
      </c>
      <c r="B34" s="69" t="inlineStr">
        <is>
          <t>Life sentence</t>
        </is>
      </c>
      <c r="C34" s="69" t="inlineStr">
        <is>
          <t>Non-HDC</t>
        </is>
      </c>
      <c r="D34" s="70" t="n">
        <v>103</v>
      </c>
      <c r="E34" s="70" t="n">
        <v>101</v>
      </c>
      <c r="F34" s="70" t="n">
        <v>82</v>
      </c>
      <c r="G34" s="70" t="n">
        <v>81</v>
      </c>
      <c r="H34" s="70" t="n">
        <v>65</v>
      </c>
    </row>
    <row r="35">
      <c r="A35" s="69" t="inlineStr">
        <is>
          <t>Male</t>
        </is>
      </c>
      <c r="B35" s="69" t="inlineStr">
        <is>
          <t>Life sentence</t>
        </is>
      </c>
      <c r="C35" s="69" t="inlineStr">
        <is>
          <t>HDC</t>
        </is>
      </c>
      <c r="D35" s="70" t="n">
        <v>0</v>
      </c>
      <c r="E35" s="70" t="n">
        <v>0</v>
      </c>
      <c r="F35" s="70" t="n">
        <v>0</v>
      </c>
      <c r="G35" s="70" t="n">
        <v>0</v>
      </c>
      <c r="H35" s="70" t="n">
        <v>0</v>
      </c>
    </row>
    <row r="36" ht="24.9" customHeight="1">
      <c r="A36" s="69" t="inlineStr">
        <is>
          <t>Female</t>
        </is>
      </c>
      <c r="B36" s="69" t="inlineStr">
        <is>
          <t>All sentence types</t>
        </is>
      </c>
      <c r="C36" s="69" t="inlineStr">
        <is>
          <t>All recalls</t>
        </is>
      </c>
      <c r="D36" s="70" t="n">
        <v>462</v>
      </c>
      <c r="E36" s="70" t="n">
        <v>477</v>
      </c>
      <c r="F36" s="70" t="n">
        <v>541</v>
      </c>
      <c r="G36" s="70" t="n">
        <v>579</v>
      </c>
      <c r="H36" s="70" t="n">
        <v>563</v>
      </c>
    </row>
    <row r="37">
      <c r="A37" s="69" t="inlineStr">
        <is>
          <t>Female</t>
        </is>
      </c>
      <c r="B37" s="69" t="inlineStr">
        <is>
          <t>All sentence types</t>
        </is>
      </c>
      <c r="C37" s="69" t="inlineStr">
        <is>
          <t>Non-HDC</t>
        </is>
      </c>
      <c r="D37" s="70" t="n">
        <v>411</v>
      </c>
      <c r="E37" s="70" t="n">
        <v>423</v>
      </c>
      <c r="F37" s="70" t="n">
        <v>493</v>
      </c>
      <c r="G37" s="70" t="n">
        <v>521</v>
      </c>
      <c r="H37" s="70" t="n">
        <v>497</v>
      </c>
    </row>
    <row r="38">
      <c r="A38" s="69" t="inlineStr">
        <is>
          <t>Female</t>
        </is>
      </c>
      <c r="B38" s="69" t="inlineStr">
        <is>
          <t>All sentence types</t>
        </is>
      </c>
      <c r="C38" s="69" t="inlineStr">
        <is>
          <t>HDC</t>
        </is>
      </c>
      <c r="D38" s="70" t="n">
        <v>51</v>
      </c>
      <c r="E38" s="70" t="n">
        <v>54</v>
      </c>
      <c r="F38" s="70" t="n">
        <v>48</v>
      </c>
      <c r="G38" s="70" t="n">
        <v>58</v>
      </c>
      <c r="H38" s="70" t="n">
        <v>66</v>
      </c>
    </row>
    <row r="39" ht="24.9" customHeight="1">
      <c r="A39" s="69" t="inlineStr">
        <is>
          <t>Female</t>
        </is>
      </c>
      <c r="B39" s="69" t="inlineStr">
        <is>
          <t>Determinate less than 12 months</t>
        </is>
      </c>
      <c r="C39" s="69" t="inlineStr">
        <is>
          <t>All recalls</t>
        </is>
      </c>
      <c r="D39" s="70" t="n">
        <v>247</v>
      </c>
      <c r="E39" s="70" t="n">
        <v>271</v>
      </c>
      <c r="F39" s="70" t="n">
        <v>309</v>
      </c>
      <c r="G39" s="70" t="n">
        <v>316</v>
      </c>
      <c r="H39" s="70" t="n">
        <v>317</v>
      </c>
    </row>
    <row r="40">
      <c r="A40" s="69" t="inlineStr">
        <is>
          <t>Female</t>
        </is>
      </c>
      <c r="B40" s="69" t="inlineStr">
        <is>
          <t>Determinate less than 12 months</t>
        </is>
      </c>
      <c r="C40" s="69" t="inlineStr">
        <is>
          <t>Non-HDC</t>
        </is>
      </c>
      <c r="D40" s="70" t="n">
        <v>244</v>
      </c>
      <c r="E40" s="70" t="n">
        <v>267</v>
      </c>
      <c r="F40" s="70" t="n">
        <v>304</v>
      </c>
      <c r="G40" s="70" t="n">
        <v>311</v>
      </c>
      <c r="H40" s="70" t="n">
        <v>313</v>
      </c>
    </row>
    <row r="41">
      <c r="A41" s="69" t="inlineStr">
        <is>
          <t>Female</t>
        </is>
      </c>
      <c r="B41" s="69" t="inlineStr">
        <is>
          <t>Determinate less than 12 months</t>
        </is>
      </c>
      <c r="C41" s="69" t="inlineStr">
        <is>
          <t>HDC</t>
        </is>
      </c>
      <c r="D41" s="70" t="n">
        <v>3</v>
      </c>
      <c r="E41" s="70" t="n">
        <v>4</v>
      </c>
      <c r="F41" s="70" t="n">
        <v>5</v>
      </c>
      <c r="G41" s="70" t="n">
        <v>5</v>
      </c>
      <c r="H41" s="70" t="n">
        <v>4</v>
      </c>
    </row>
    <row r="42" ht="24.9" customHeight="1">
      <c r="A42" s="69" t="inlineStr">
        <is>
          <t>Female</t>
        </is>
      </c>
      <c r="B42" s="69" t="inlineStr">
        <is>
          <t>Determinate 12 months or more</t>
        </is>
      </c>
      <c r="C42" s="69" t="inlineStr">
        <is>
          <t>All recalls</t>
        </is>
      </c>
      <c r="D42" s="70" t="n">
        <v>211</v>
      </c>
      <c r="E42" s="70" t="n">
        <v>200</v>
      </c>
      <c r="F42" s="70" t="n">
        <v>227</v>
      </c>
      <c r="G42" s="70" t="n">
        <v>252</v>
      </c>
      <c r="H42" s="70" t="n">
        <v>241</v>
      </c>
    </row>
    <row r="43">
      <c r="A43" s="69" t="inlineStr">
        <is>
          <t>Female</t>
        </is>
      </c>
      <c r="B43" s="69" t="inlineStr">
        <is>
          <t>Determinate 12 months or more</t>
        </is>
      </c>
      <c r="C43" s="69" t="inlineStr">
        <is>
          <t>Non-HDC</t>
        </is>
      </c>
      <c r="D43" s="70" t="n">
        <v>163</v>
      </c>
      <c r="E43" s="70" t="n">
        <v>150</v>
      </c>
      <c r="F43" s="70" t="n">
        <v>184</v>
      </c>
      <c r="G43" s="70" t="n">
        <v>199</v>
      </c>
      <c r="H43" s="70" t="n">
        <v>179</v>
      </c>
    </row>
    <row r="44">
      <c r="A44" s="69" t="inlineStr">
        <is>
          <t>Female</t>
        </is>
      </c>
      <c r="B44" s="69" t="inlineStr">
        <is>
          <t>Determinate 12 months or more</t>
        </is>
      </c>
      <c r="C44" s="69" t="inlineStr">
        <is>
          <t>HDC</t>
        </is>
      </c>
      <c r="D44" s="70" t="n">
        <v>48</v>
      </c>
      <c r="E44" s="70" t="n">
        <v>50</v>
      </c>
      <c r="F44" s="70" t="n">
        <v>43</v>
      </c>
      <c r="G44" s="70" t="n">
        <v>53</v>
      </c>
      <c r="H44" s="70" t="n">
        <v>62</v>
      </c>
    </row>
    <row r="45" ht="24.9" customHeight="1">
      <c r="A45" s="69" t="inlineStr">
        <is>
          <t>Female</t>
        </is>
      </c>
      <c r="B45" s="69" t="inlineStr">
        <is>
          <t>IPP</t>
        </is>
      </c>
      <c r="C45" s="69" t="inlineStr">
        <is>
          <t>All recalls</t>
        </is>
      </c>
      <c r="D45" s="70" t="n">
        <v>4</v>
      </c>
      <c r="E45" s="70" t="n">
        <v>4</v>
      </c>
      <c r="F45" s="70" t="n">
        <v>4</v>
      </c>
      <c r="G45" s="70" t="n">
        <v>7</v>
      </c>
      <c r="H45" s="70" t="n">
        <v>3</v>
      </c>
    </row>
    <row r="46">
      <c r="A46" s="69" t="inlineStr">
        <is>
          <t>Female</t>
        </is>
      </c>
      <c r="B46" s="69" t="inlineStr">
        <is>
          <t>IPP</t>
        </is>
      </c>
      <c r="C46" s="69" t="inlineStr">
        <is>
          <t>Non-HDC</t>
        </is>
      </c>
      <c r="D46" s="70" t="n">
        <v>4</v>
      </c>
      <c r="E46" s="70" t="n">
        <v>4</v>
      </c>
      <c r="F46" s="70" t="n">
        <v>4</v>
      </c>
      <c r="G46" s="70" t="n">
        <v>7</v>
      </c>
      <c r="H46" s="70" t="n">
        <v>3</v>
      </c>
    </row>
    <row r="47">
      <c r="A47" s="69" t="inlineStr">
        <is>
          <t>Female</t>
        </is>
      </c>
      <c r="B47" s="69" t="inlineStr">
        <is>
          <t>IPP</t>
        </is>
      </c>
      <c r="C47" s="69" t="inlineStr">
        <is>
          <t>HDC</t>
        </is>
      </c>
      <c r="D47" s="70" t="n">
        <v>0</v>
      </c>
      <c r="E47" s="70" t="n">
        <v>0</v>
      </c>
      <c r="F47" s="70" t="n">
        <v>0</v>
      </c>
      <c r="G47" s="70" t="n">
        <v>0</v>
      </c>
      <c r="H47" s="70" t="n">
        <v>0</v>
      </c>
    </row>
    <row r="48" ht="24.9" customHeight="1">
      <c r="A48" s="69" t="inlineStr">
        <is>
          <t>Female</t>
        </is>
      </c>
      <c r="B48" s="69" t="inlineStr">
        <is>
          <t>Life sentence</t>
        </is>
      </c>
      <c r="C48" s="69" t="inlineStr">
        <is>
          <t>All recalls</t>
        </is>
      </c>
      <c r="D48" s="70" t="n">
        <v>0</v>
      </c>
      <c r="E48" s="70" t="n">
        <v>2</v>
      </c>
      <c r="F48" s="70" t="n">
        <v>1</v>
      </c>
      <c r="G48" s="70" t="n">
        <v>4</v>
      </c>
      <c r="H48" s="70" t="n">
        <v>2</v>
      </c>
    </row>
    <row r="49">
      <c r="A49" s="69" t="inlineStr">
        <is>
          <t>Female</t>
        </is>
      </c>
      <c r="B49" s="69" t="inlineStr">
        <is>
          <t>Life sentence</t>
        </is>
      </c>
      <c r="C49" s="69" t="inlineStr">
        <is>
          <t>Non-HDC</t>
        </is>
      </c>
      <c r="D49" s="70" t="n">
        <v>0</v>
      </c>
      <c r="E49" s="70" t="n">
        <v>2</v>
      </c>
      <c r="F49" s="70" t="n">
        <v>1</v>
      </c>
      <c r="G49" s="70" t="n">
        <v>4</v>
      </c>
      <c r="H49" s="70" t="n">
        <v>2</v>
      </c>
    </row>
    <row r="50">
      <c r="A50" s="69" t="inlineStr">
        <is>
          <t>Female</t>
        </is>
      </c>
      <c r="B50" s="69" t="inlineStr">
        <is>
          <t>Life sentence</t>
        </is>
      </c>
      <c r="C50" s="69" t="inlineStr">
        <is>
          <t>HDC</t>
        </is>
      </c>
      <c r="D50" s="70" t="n">
        <v>0</v>
      </c>
      <c r="E50" s="70" t="n">
        <v>0</v>
      </c>
      <c r="F50" s="70" t="n">
        <v>0</v>
      </c>
      <c r="G50" s="70" t="n">
        <v>0</v>
      </c>
      <c r="H50" s="70" t="n">
        <v>0</v>
      </c>
    </row>
  </sheetData>
  <hyperlinks>
    <hyperlink xmlns:r="http://schemas.openxmlformats.org/officeDocument/2006/relationships" ref="A3"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1" customWidth="1" min="1" max="1"/>
    <col width="20" customWidth="1" min="2" max="2"/>
    <col width="20" customWidth="1" min="3" max="3"/>
    <col width="20" customWidth="1" min="4" max="4"/>
    <col width="20" customWidth="1" min="5" max="5"/>
    <col width="20" customWidth="1" min="6" max="6"/>
    <col width="20" customWidth="1" min="7" max="7"/>
  </cols>
  <sheetData>
    <row r="1">
      <c r="A1" s="64" t="inlineStr">
        <is>
          <t>Table 3: Time series: number of recalls from licence, by supervising body and recall category, England and Wales [note 1][note 2][note 3]</t>
        </is>
      </c>
    </row>
    <row r="2">
      <c r="A2" s="65" t="inlineStr">
        <is>
          <t>This worksheet contains one table.</t>
        </is>
      </c>
    </row>
    <row r="3">
      <c r="A3" s="66" t="inlineStr">
        <is>
          <t>Link to Contents tab</t>
        </is>
      </c>
    </row>
    <row r="4">
      <c r="A4" s="65" t="inlineStr">
        <is>
          <t>Source: Public Protection Unit Database (PPUD)</t>
        </is>
      </c>
    </row>
    <row r="5" ht="46.8" customHeight="1">
      <c r="A5" s="71" t="inlineStr">
        <is>
          <t>Probation region</t>
        </is>
      </c>
      <c r="B5" s="71" t="inlineStr">
        <is>
          <t>Recall category</t>
        </is>
      </c>
      <c r="C5" s="72" t="inlineStr">
        <is>
          <t>Jan to Mar 2023</t>
        </is>
      </c>
      <c r="D5" s="72" t="inlineStr">
        <is>
          <t>Apr to Jun 2023</t>
        </is>
      </c>
      <c r="E5" s="72" t="inlineStr">
        <is>
          <t>Jul to Sep 2023</t>
        </is>
      </c>
      <c r="F5" s="72" t="inlineStr">
        <is>
          <t>Oct to Dec 2023</t>
        </is>
      </c>
      <c r="G5" s="72" t="inlineStr">
        <is>
          <t>Jan to Mar 2024</t>
        </is>
      </c>
    </row>
    <row r="6" ht="24.9" customHeight="1">
      <c r="A6" s="73" t="inlineStr">
        <is>
          <t>All regions</t>
        </is>
      </c>
      <c r="B6" s="73" t="inlineStr">
        <is>
          <t>All recalls</t>
        </is>
      </c>
      <c r="C6" s="74" t="n">
        <v>6824</v>
      </c>
      <c r="D6" s="74" t="n">
        <v>6814</v>
      </c>
      <c r="E6" s="74" t="n">
        <v>7030</v>
      </c>
      <c r="F6" s="74" t="n">
        <v>7152</v>
      </c>
      <c r="G6" s="74" t="n">
        <v>7415</v>
      </c>
    </row>
    <row r="7">
      <c r="A7" s="73" t="inlineStr">
        <is>
          <t>All regions</t>
        </is>
      </c>
      <c r="B7" s="73" t="inlineStr">
        <is>
          <t>Non-HDC</t>
        </is>
      </c>
      <c r="C7" s="74" t="n">
        <v>6525</v>
      </c>
      <c r="D7" s="74" t="n">
        <v>6460</v>
      </c>
      <c r="E7" s="74" t="n">
        <v>6645</v>
      </c>
      <c r="F7" s="74" t="n">
        <v>6753</v>
      </c>
      <c r="G7" s="74" t="n">
        <v>7036</v>
      </c>
    </row>
    <row r="8">
      <c r="A8" s="73" t="inlineStr">
        <is>
          <t>All regions</t>
        </is>
      </c>
      <c r="B8" s="73" t="inlineStr">
        <is>
          <t>HDC</t>
        </is>
      </c>
      <c r="C8" s="74" t="n">
        <v>299</v>
      </c>
      <c r="D8" s="74" t="n">
        <v>354</v>
      </c>
      <c r="E8" s="74" t="n">
        <v>385</v>
      </c>
      <c r="F8" s="74" t="n">
        <v>399</v>
      </c>
      <c r="G8" s="74" t="n">
        <v>379</v>
      </c>
    </row>
    <row r="9" ht="24.9" customHeight="1">
      <c r="A9" s="73" t="inlineStr">
        <is>
          <t>East Midlands</t>
        </is>
      </c>
      <c r="B9" s="73" t="inlineStr">
        <is>
          <t>All recalls</t>
        </is>
      </c>
      <c r="C9" s="74" t="n">
        <v>519</v>
      </c>
      <c r="D9" s="74" t="n">
        <v>487</v>
      </c>
      <c r="E9" s="74" t="n">
        <v>541</v>
      </c>
      <c r="F9" s="74" t="n">
        <v>554</v>
      </c>
      <c r="G9" s="74" t="n">
        <v>615</v>
      </c>
    </row>
    <row r="10">
      <c r="A10" s="73" t="inlineStr">
        <is>
          <t>East Midlands</t>
        </is>
      </c>
      <c r="B10" s="73" t="inlineStr">
        <is>
          <t>Non-HDC</t>
        </is>
      </c>
      <c r="C10" s="74" t="n">
        <v>499</v>
      </c>
      <c r="D10" s="74" t="n">
        <v>460</v>
      </c>
      <c r="E10" s="74" t="n">
        <v>509</v>
      </c>
      <c r="F10" s="74" t="n">
        <v>530</v>
      </c>
      <c r="G10" s="74" t="n">
        <v>585</v>
      </c>
    </row>
    <row r="11">
      <c r="A11" s="73" t="inlineStr">
        <is>
          <t>East Midlands</t>
        </is>
      </c>
      <c r="B11" s="73" t="inlineStr">
        <is>
          <t>HDC</t>
        </is>
      </c>
      <c r="C11" s="74" t="n">
        <v>20</v>
      </c>
      <c r="D11" s="74" t="n">
        <v>27</v>
      </c>
      <c r="E11" s="74" t="n">
        <v>32</v>
      </c>
      <c r="F11" s="74" t="n">
        <v>24</v>
      </c>
      <c r="G11" s="74" t="n">
        <v>30</v>
      </c>
    </row>
    <row r="12" ht="24.9" customHeight="1">
      <c r="A12" s="73" t="inlineStr">
        <is>
          <t>East of England</t>
        </is>
      </c>
      <c r="B12" s="73" t="inlineStr">
        <is>
          <t>All recalls</t>
        </is>
      </c>
      <c r="C12" s="74" t="n">
        <v>564</v>
      </c>
      <c r="D12" s="74" t="n">
        <v>558</v>
      </c>
      <c r="E12" s="74" t="n">
        <v>627</v>
      </c>
      <c r="F12" s="74" t="n">
        <v>585</v>
      </c>
      <c r="G12" s="74" t="n">
        <v>641</v>
      </c>
    </row>
    <row r="13">
      <c r="A13" s="73" t="inlineStr">
        <is>
          <t>East of England</t>
        </is>
      </c>
      <c r="B13" s="73" t="inlineStr">
        <is>
          <t>Non-HDC</t>
        </is>
      </c>
      <c r="C13" s="74" t="n">
        <v>548</v>
      </c>
      <c r="D13" s="74" t="n">
        <v>537</v>
      </c>
      <c r="E13" s="74" t="n">
        <v>595</v>
      </c>
      <c r="F13" s="74" t="n">
        <v>550</v>
      </c>
      <c r="G13" s="74" t="n">
        <v>616</v>
      </c>
    </row>
    <row r="14">
      <c r="A14" s="73" t="inlineStr">
        <is>
          <t>East of England</t>
        </is>
      </c>
      <c r="B14" s="73" t="inlineStr">
        <is>
          <t>HDC</t>
        </is>
      </c>
      <c r="C14" s="74" t="n">
        <v>16</v>
      </c>
      <c r="D14" s="74" t="n">
        <v>21</v>
      </c>
      <c r="E14" s="74" t="n">
        <v>32</v>
      </c>
      <c r="F14" s="74" t="n">
        <v>35</v>
      </c>
      <c r="G14" s="74" t="n">
        <v>25</v>
      </c>
    </row>
    <row r="15" ht="24.9" customHeight="1">
      <c r="A15" s="73" t="inlineStr">
        <is>
          <t>Greater Manchester</t>
        </is>
      </c>
      <c r="B15" s="73" t="inlineStr">
        <is>
          <t>All recalls</t>
        </is>
      </c>
      <c r="C15" s="74" t="n">
        <v>568</v>
      </c>
      <c r="D15" s="74" t="n">
        <v>541</v>
      </c>
      <c r="E15" s="74" t="n">
        <v>564</v>
      </c>
      <c r="F15" s="74" t="n">
        <v>585</v>
      </c>
      <c r="G15" s="74" t="n">
        <v>581</v>
      </c>
    </row>
    <row r="16">
      <c r="A16" s="73" t="inlineStr">
        <is>
          <t>Greater Manchester</t>
        </is>
      </c>
      <c r="B16" s="73" t="inlineStr">
        <is>
          <t>Non-HDC</t>
        </is>
      </c>
      <c r="C16" s="74" t="n">
        <v>544</v>
      </c>
      <c r="D16" s="74" t="n">
        <v>523</v>
      </c>
      <c r="E16" s="74" t="n">
        <v>529</v>
      </c>
      <c r="F16" s="74" t="n">
        <v>562</v>
      </c>
      <c r="G16" s="74" t="n">
        <v>564</v>
      </c>
    </row>
    <row r="17">
      <c r="A17" s="73" t="inlineStr">
        <is>
          <t>Greater Manchester</t>
        </is>
      </c>
      <c r="B17" s="73" t="inlineStr">
        <is>
          <t>HDC</t>
        </is>
      </c>
      <c r="C17" s="74" t="n">
        <v>24</v>
      </c>
      <c r="D17" s="74" t="n">
        <v>18</v>
      </c>
      <c r="E17" s="74" t="n">
        <v>35</v>
      </c>
      <c r="F17" s="74" t="n">
        <v>23</v>
      </c>
      <c r="G17" s="74" t="n">
        <v>17</v>
      </c>
    </row>
    <row r="18" ht="24.9" customHeight="1">
      <c r="A18" s="73" t="inlineStr">
        <is>
          <t>Kent Surrey Sussex</t>
        </is>
      </c>
      <c r="B18" s="73" t="inlineStr">
        <is>
          <t>All recalls</t>
        </is>
      </c>
      <c r="C18" s="74" t="n">
        <v>348</v>
      </c>
      <c r="D18" s="74" t="n">
        <v>321</v>
      </c>
      <c r="E18" s="74" t="n">
        <v>368</v>
      </c>
      <c r="F18" s="74" t="n">
        <v>361</v>
      </c>
      <c r="G18" s="74" t="n">
        <v>354</v>
      </c>
    </row>
    <row r="19">
      <c r="A19" s="73" t="inlineStr">
        <is>
          <t>Kent Surrey Sussex</t>
        </is>
      </c>
      <c r="B19" s="73" t="inlineStr">
        <is>
          <t>Non-HDC</t>
        </is>
      </c>
      <c r="C19" s="74" t="n">
        <v>336</v>
      </c>
      <c r="D19" s="74" t="n">
        <v>306</v>
      </c>
      <c r="E19" s="74" t="n">
        <v>347</v>
      </c>
      <c r="F19" s="74" t="n">
        <v>344</v>
      </c>
      <c r="G19" s="74" t="n">
        <v>342</v>
      </c>
    </row>
    <row r="20">
      <c r="A20" s="73" t="inlineStr">
        <is>
          <t>Kent Surrey Sussex</t>
        </is>
      </c>
      <c r="B20" s="73" t="inlineStr">
        <is>
          <t>HDC</t>
        </is>
      </c>
      <c r="C20" s="74" t="n">
        <v>12</v>
      </c>
      <c r="D20" s="74" t="n">
        <v>15</v>
      </c>
      <c r="E20" s="74" t="n">
        <v>21</v>
      </c>
      <c r="F20" s="74" t="n">
        <v>17</v>
      </c>
      <c r="G20" s="74" t="n">
        <v>12</v>
      </c>
    </row>
    <row r="21" ht="24.9" customHeight="1">
      <c r="A21" s="73" t="inlineStr">
        <is>
          <t>London</t>
        </is>
      </c>
      <c r="B21" s="73" t="inlineStr">
        <is>
          <t>All recalls</t>
        </is>
      </c>
      <c r="C21" s="74" t="n">
        <v>846</v>
      </c>
      <c r="D21" s="74" t="n">
        <v>823</v>
      </c>
      <c r="E21" s="74" t="n">
        <v>870</v>
      </c>
      <c r="F21" s="74" t="n">
        <v>947</v>
      </c>
      <c r="G21" s="74" t="n">
        <v>906</v>
      </c>
    </row>
    <row r="22">
      <c r="A22" s="73" t="inlineStr">
        <is>
          <t>London</t>
        </is>
      </c>
      <c r="B22" s="73" t="inlineStr">
        <is>
          <t>Non-HDC</t>
        </is>
      </c>
      <c r="C22" s="74" t="n">
        <v>816</v>
      </c>
      <c r="D22" s="74" t="n">
        <v>792</v>
      </c>
      <c r="E22" s="74" t="n">
        <v>836</v>
      </c>
      <c r="F22" s="74" t="n">
        <v>901</v>
      </c>
      <c r="G22" s="74" t="n">
        <v>861</v>
      </c>
    </row>
    <row r="23">
      <c r="A23" s="73" t="inlineStr">
        <is>
          <t>London</t>
        </is>
      </c>
      <c r="B23" s="73" t="inlineStr">
        <is>
          <t>HDC</t>
        </is>
      </c>
      <c r="C23" s="74" t="n">
        <v>30</v>
      </c>
      <c r="D23" s="74" t="n">
        <v>31</v>
      </c>
      <c r="E23" s="74" t="n">
        <v>34</v>
      </c>
      <c r="F23" s="74" t="n">
        <v>46</v>
      </c>
      <c r="G23" s="74" t="n">
        <v>45</v>
      </c>
    </row>
    <row r="24" ht="24.9" customHeight="1">
      <c r="A24" s="73" t="inlineStr">
        <is>
          <t>North East</t>
        </is>
      </c>
      <c r="B24" s="73" t="inlineStr">
        <is>
          <t>All recalls</t>
        </is>
      </c>
      <c r="C24" s="74" t="n">
        <v>418</v>
      </c>
      <c r="D24" s="74" t="n">
        <v>415</v>
      </c>
      <c r="E24" s="74" t="n">
        <v>413</v>
      </c>
      <c r="F24" s="74" t="n">
        <v>436</v>
      </c>
      <c r="G24" s="74" t="n">
        <v>483</v>
      </c>
    </row>
    <row r="25">
      <c r="A25" s="73" t="inlineStr">
        <is>
          <t>North East</t>
        </is>
      </c>
      <c r="B25" s="73" t="inlineStr">
        <is>
          <t>Non-HDC</t>
        </is>
      </c>
      <c r="C25" s="74" t="n">
        <v>388</v>
      </c>
      <c r="D25" s="74" t="n">
        <v>385</v>
      </c>
      <c r="E25" s="74" t="n">
        <v>394</v>
      </c>
      <c r="F25" s="74" t="n">
        <v>403</v>
      </c>
      <c r="G25" s="74" t="n">
        <v>450</v>
      </c>
    </row>
    <row r="26">
      <c r="A26" s="73" t="inlineStr">
        <is>
          <t>North East</t>
        </is>
      </c>
      <c r="B26" s="73" t="inlineStr">
        <is>
          <t>HDC</t>
        </is>
      </c>
      <c r="C26" s="74" t="n">
        <v>30</v>
      </c>
      <c r="D26" s="74" t="n">
        <v>30</v>
      </c>
      <c r="E26" s="74" t="n">
        <v>19</v>
      </c>
      <c r="F26" s="74" t="n">
        <v>33</v>
      </c>
      <c r="G26" s="74" t="n">
        <v>33</v>
      </c>
    </row>
    <row r="27" ht="24.9" customHeight="1">
      <c r="A27" s="73" t="inlineStr">
        <is>
          <t>North West</t>
        </is>
      </c>
      <c r="B27" s="73" t="inlineStr">
        <is>
          <t>All recalls</t>
        </is>
      </c>
      <c r="C27" s="74" t="n">
        <v>737</v>
      </c>
      <c r="D27" s="74" t="n">
        <v>720</v>
      </c>
      <c r="E27" s="74" t="n">
        <v>726</v>
      </c>
      <c r="F27" s="74" t="n">
        <v>730</v>
      </c>
      <c r="G27" s="74" t="n">
        <v>757</v>
      </c>
    </row>
    <row r="28">
      <c r="A28" s="73" t="inlineStr">
        <is>
          <t>North West</t>
        </is>
      </c>
      <c r="B28" s="73" t="inlineStr">
        <is>
          <t>Non-HDC</t>
        </is>
      </c>
      <c r="C28" s="74" t="n">
        <v>691</v>
      </c>
      <c r="D28" s="74" t="n">
        <v>691</v>
      </c>
      <c r="E28" s="74" t="n">
        <v>688</v>
      </c>
      <c r="F28" s="74" t="n">
        <v>681</v>
      </c>
      <c r="G28" s="74" t="n">
        <v>712</v>
      </c>
    </row>
    <row r="29">
      <c r="A29" s="73" t="inlineStr">
        <is>
          <t>North West</t>
        </is>
      </c>
      <c r="B29" s="73" t="inlineStr">
        <is>
          <t>HDC</t>
        </is>
      </c>
      <c r="C29" s="74" t="n">
        <v>46</v>
      </c>
      <c r="D29" s="74" t="n">
        <v>29</v>
      </c>
      <c r="E29" s="74" t="n">
        <v>38</v>
      </c>
      <c r="F29" s="74" t="n">
        <v>49</v>
      </c>
      <c r="G29" s="74" t="n">
        <v>45</v>
      </c>
    </row>
    <row r="30" ht="24.9" customHeight="1">
      <c r="A30" s="73" t="inlineStr">
        <is>
          <t>South Central</t>
        </is>
      </c>
      <c r="B30" s="73" t="inlineStr">
        <is>
          <t>All recalls</t>
        </is>
      </c>
      <c r="C30" s="74" t="n">
        <v>300</v>
      </c>
      <c r="D30" s="74" t="n">
        <v>339</v>
      </c>
      <c r="E30" s="74" t="n">
        <v>292</v>
      </c>
      <c r="F30" s="74" t="n">
        <v>360</v>
      </c>
      <c r="G30" s="74" t="n">
        <v>355</v>
      </c>
    </row>
    <row r="31">
      <c r="A31" s="73" t="inlineStr">
        <is>
          <t>South Central</t>
        </is>
      </c>
      <c r="B31" s="73" t="inlineStr">
        <is>
          <t>Non-HDC</t>
        </is>
      </c>
      <c r="C31" s="74" t="n">
        <v>287</v>
      </c>
      <c r="D31" s="74" t="n">
        <v>315</v>
      </c>
      <c r="E31" s="74" t="n">
        <v>271</v>
      </c>
      <c r="F31" s="74" t="n">
        <v>341</v>
      </c>
      <c r="G31" s="74" t="n">
        <v>334</v>
      </c>
    </row>
    <row r="32">
      <c r="A32" s="73" t="inlineStr">
        <is>
          <t>South Central</t>
        </is>
      </c>
      <c r="B32" s="73" t="inlineStr">
        <is>
          <t>HDC</t>
        </is>
      </c>
      <c r="C32" s="74" t="n">
        <v>13</v>
      </c>
      <c r="D32" s="74" t="n">
        <v>24</v>
      </c>
      <c r="E32" s="74" t="n">
        <v>21</v>
      </c>
      <c r="F32" s="74" t="n">
        <v>19</v>
      </c>
      <c r="G32" s="74" t="n">
        <v>21</v>
      </c>
    </row>
    <row r="33" ht="24.9" customHeight="1">
      <c r="A33" s="73" t="inlineStr">
        <is>
          <t>South West</t>
        </is>
      </c>
      <c r="B33" s="73" t="inlineStr">
        <is>
          <t>All recalls</t>
        </is>
      </c>
      <c r="C33" s="74" t="n">
        <v>409</v>
      </c>
      <c r="D33" s="74" t="n">
        <v>423</v>
      </c>
      <c r="E33" s="74" t="n">
        <v>404</v>
      </c>
      <c r="F33" s="74" t="n">
        <v>436</v>
      </c>
      <c r="G33" s="74" t="n">
        <v>403</v>
      </c>
    </row>
    <row r="34">
      <c r="A34" s="73" t="inlineStr">
        <is>
          <t>South West</t>
        </is>
      </c>
      <c r="B34" s="73" t="inlineStr">
        <is>
          <t>Non-HDC</t>
        </is>
      </c>
      <c r="C34" s="74" t="n">
        <v>395</v>
      </c>
      <c r="D34" s="74" t="n">
        <v>395</v>
      </c>
      <c r="E34" s="74" t="n">
        <v>387</v>
      </c>
      <c r="F34" s="74" t="n">
        <v>415</v>
      </c>
      <c r="G34" s="74" t="n">
        <v>379</v>
      </c>
    </row>
    <row r="35">
      <c r="A35" s="73" t="inlineStr">
        <is>
          <t>South West</t>
        </is>
      </c>
      <c r="B35" s="73" t="inlineStr">
        <is>
          <t>HDC</t>
        </is>
      </c>
      <c r="C35" s="74" t="n">
        <v>14</v>
      </c>
      <c r="D35" s="74" t="n">
        <v>28</v>
      </c>
      <c r="E35" s="74" t="n">
        <v>17</v>
      </c>
      <c r="F35" s="74" t="n">
        <v>21</v>
      </c>
      <c r="G35" s="74" t="n">
        <v>24</v>
      </c>
    </row>
    <row r="36" ht="24.9" customHeight="1">
      <c r="A36" s="73" t="inlineStr">
        <is>
          <t>Wales</t>
        </is>
      </c>
      <c r="B36" s="73" t="inlineStr">
        <is>
          <t>All recalls</t>
        </is>
      </c>
      <c r="C36" s="74" t="n">
        <v>490</v>
      </c>
      <c r="D36" s="74" t="n">
        <v>517</v>
      </c>
      <c r="E36" s="74" t="n">
        <v>532</v>
      </c>
      <c r="F36" s="74" t="n">
        <v>483</v>
      </c>
      <c r="G36" s="74" t="n">
        <v>571</v>
      </c>
    </row>
    <row r="37">
      <c r="A37" s="73" t="inlineStr">
        <is>
          <t>Wales</t>
        </is>
      </c>
      <c r="B37" s="73" t="inlineStr">
        <is>
          <t>Non-HDC</t>
        </is>
      </c>
      <c r="C37" s="74" t="n">
        <v>472</v>
      </c>
      <c r="D37" s="74" t="n">
        <v>490</v>
      </c>
      <c r="E37" s="74" t="n">
        <v>514</v>
      </c>
      <c r="F37" s="74" t="n">
        <v>465</v>
      </c>
      <c r="G37" s="74" t="n">
        <v>550</v>
      </c>
    </row>
    <row r="38">
      <c r="A38" s="73" t="inlineStr">
        <is>
          <t>Wales</t>
        </is>
      </c>
      <c r="B38" s="73" t="inlineStr">
        <is>
          <t>HDC</t>
        </is>
      </c>
      <c r="C38" s="74" t="n">
        <v>18</v>
      </c>
      <c r="D38" s="74" t="n">
        <v>27</v>
      </c>
      <c r="E38" s="74" t="n">
        <v>18</v>
      </c>
      <c r="F38" s="74" t="n">
        <v>18</v>
      </c>
      <c r="G38" s="74" t="n">
        <v>21</v>
      </c>
    </row>
    <row r="39" ht="24.9" customHeight="1">
      <c r="A39" s="73" t="inlineStr">
        <is>
          <t>West Midlands</t>
        </is>
      </c>
      <c r="B39" s="73" t="inlineStr">
        <is>
          <t>All recalls</t>
        </is>
      </c>
      <c r="C39" s="74" t="n">
        <v>735</v>
      </c>
      <c r="D39" s="74" t="n">
        <v>754</v>
      </c>
      <c r="E39" s="74" t="n">
        <v>817</v>
      </c>
      <c r="F39" s="74" t="n">
        <v>789</v>
      </c>
      <c r="G39" s="74" t="n">
        <v>773</v>
      </c>
    </row>
    <row r="40">
      <c r="A40" s="73" t="inlineStr">
        <is>
          <t>West Midlands</t>
        </is>
      </c>
      <c r="B40" s="73" t="inlineStr">
        <is>
          <t>Non-HDC</t>
        </is>
      </c>
      <c r="C40" s="74" t="n">
        <v>701</v>
      </c>
      <c r="D40" s="74" t="n">
        <v>718</v>
      </c>
      <c r="E40" s="74" t="n">
        <v>772</v>
      </c>
      <c r="F40" s="74" t="n">
        <v>747</v>
      </c>
      <c r="G40" s="74" t="n">
        <v>728</v>
      </c>
    </row>
    <row r="41">
      <c r="A41" s="73" t="inlineStr">
        <is>
          <t>West Midlands</t>
        </is>
      </c>
      <c r="B41" s="73" t="inlineStr">
        <is>
          <t>HDC</t>
        </is>
      </c>
      <c r="C41" s="74" t="n">
        <v>34</v>
      </c>
      <c r="D41" s="74" t="n">
        <v>36</v>
      </c>
      <c r="E41" s="74" t="n">
        <v>45</v>
      </c>
      <c r="F41" s="74" t="n">
        <v>42</v>
      </c>
      <c r="G41" s="74" t="n">
        <v>45</v>
      </c>
    </row>
    <row r="42" ht="24.9" customHeight="1">
      <c r="A42" s="73" t="inlineStr">
        <is>
          <t>Yorkshire and The Humber</t>
        </is>
      </c>
      <c r="B42" s="73" t="inlineStr">
        <is>
          <t>All recalls</t>
        </is>
      </c>
      <c r="C42" s="74" t="n">
        <v>872</v>
      </c>
      <c r="D42" s="74" t="n">
        <v>906</v>
      </c>
      <c r="E42" s="74" t="n">
        <v>846</v>
      </c>
      <c r="F42" s="74" t="n">
        <v>857</v>
      </c>
      <c r="G42" s="74" t="n">
        <v>947</v>
      </c>
    </row>
    <row r="43">
      <c r="A43" s="73" t="inlineStr">
        <is>
          <t>Yorkshire and The Humber</t>
        </is>
      </c>
      <c r="B43" s="73" t="inlineStr">
        <is>
          <t>Non-HDC</t>
        </is>
      </c>
      <c r="C43" s="74" t="n">
        <v>830</v>
      </c>
      <c r="D43" s="74" t="n">
        <v>838</v>
      </c>
      <c r="E43" s="74" t="n">
        <v>774</v>
      </c>
      <c r="F43" s="74" t="n">
        <v>789</v>
      </c>
      <c r="G43" s="74" t="n">
        <v>890</v>
      </c>
    </row>
    <row r="44">
      <c r="A44" s="73" t="inlineStr">
        <is>
          <t>Yorkshire and The Humber</t>
        </is>
      </c>
      <c r="B44" s="73" t="inlineStr">
        <is>
          <t>HDC</t>
        </is>
      </c>
      <c r="C44" s="74" t="n">
        <v>42</v>
      </c>
      <c r="D44" s="74" t="n">
        <v>68</v>
      </c>
      <c r="E44" s="74" t="n">
        <v>72</v>
      </c>
      <c r="F44" s="74" t="n">
        <v>68</v>
      </c>
      <c r="G44" s="74" t="n">
        <v>57</v>
      </c>
    </row>
    <row r="45" ht="24.9" customHeight="1">
      <c r="A45" s="73" t="inlineStr">
        <is>
          <t>National Security Division</t>
        </is>
      </c>
      <c r="B45" s="73" t="inlineStr">
        <is>
          <t>All recalls</t>
        </is>
      </c>
      <c r="C45" s="74" t="n">
        <v>16</v>
      </c>
      <c r="D45" s="74" t="n">
        <v>10</v>
      </c>
      <c r="E45" s="74" t="n">
        <v>29</v>
      </c>
      <c r="F45" s="74" t="n">
        <v>29</v>
      </c>
      <c r="G45" s="74" t="n">
        <v>28</v>
      </c>
    </row>
    <row r="46">
      <c r="A46" s="73" t="inlineStr">
        <is>
          <t>National Security Division</t>
        </is>
      </c>
      <c r="B46" s="73" t="inlineStr">
        <is>
          <t>Non-HDC</t>
        </is>
      </c>
      <c r="C46" s="74" t="n">
        <v>16</v>
      </c>
      <c r="D46" s="74" t="n">
        <v>10</v>
      </c>
      <c r="E46" s="74" t="n">
        <v>28</v>
      </c>
      <c r="F46" s="74" t="n">
        <v>25</v>
      </c>
      <c r="G46" s="74" t="n">
        <v>24</v>
      </c>
    </row>
    <row r="47">
      <c r="A47" s="73" t="inlineStr">
        <is>
          <t>National Security Division</t>
        </is>
      </c>
      <c r="B47" s="73" t="inlineStr">
        <is>
          <t>HDC</t>
        </is>
      </c>
      <c r="C47" s="74" t="n">
        <v>0</v>
      </c>
      <c r="D47" s="74" t="n">
        <v>0</v>
      </c>
      <c r="E47" s="74" t="n">
        <v>1</v>
      </c>
      <c r="F47" s="74" t="n">
        <v>4</v>
      </c>
      <c r="G47" s="74" t="n">
        <v>4</v>
      </c>
    </row>
    <row r="48" ht="24.9" customHeight="1">
      <c r="A48" s="73" t="inlineStr">
        <is>
          <t>Unassigned</t>
        </is>
      </c>
      <c r="B48" s="73" t="inlineStr">
        <is>
          <t>All recalls</t>
        </is>
      </c>
      <c r="C48" s="74" t="n">
        <v>2</v>
      </c>
      <c r="D48" s="74" t="n">
        <v>0</v>
      </c>
      <c r="E48" s="74" t="n">
        <v>1</v>
      </c>
      <c r="F48" s="74" t="n">
        <v>0</v>
      </c>
      <c r="G48" s="74" t="n">
        <v>1</v>
      </c>
    </row>
    <row r="49">
      <c r="A49" s="73" t="inlineStr">
        <is>
          <t>Unassigned</t>
        </is>
      </c>
      <c r="B49" s="73" t="inlineStr">
        <is>
          <t>Non-HDC</t>
        </is>
      </c>
      <c r="C49" s="74" t="n">
        <v>2</v>
      </c>
      <c r="D49" s="74" t="n">
        <v>0</v>
      </c>
      <c r="E49" s="74" t="n">
        <v>1</v>
      </c>
      <c r="F49" s="74" t="n">
        <v>0</v>
      </c>
      <c r="G49" s="74" t="n">
        <v>1</v>
      </c>
    </row>
    <row r="50">
      <c r="A50" s="73" t="inlineStr">
        <is>
          <t>Unassigned</t>
        </is>
      </c>
      <c r="B50" s="73" t="inlineStr">
        <is>
          <t>HDC</t>
        </is>
      </c>
      <c r="C50" s="74" t="n">
        <v>0</v>
      </c>
      <c r="D50" s="74" t="n">
        <v>0</v>
      </c>
      <c r="E50" s="74" t="n">
        <v>0</v>
      </c>
      <c r="F50" s="74" t="n">
        <v>0</v>
      </c>
      <c r="G50" s="74" t="n">
        <v>0</v>
      </c>
    </row>
  </sheetData>
  <hyperlinks>
    <hyperlink xmlns:r="http://schemas.openxmlformats.org/officeDocument/2006/relationships" ref="A3"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0" customWidth="1" min="1" max="1"/>
    <col width="36" customWidth="1" min="2" max="2"/>
    <col width="31.22" customWidth="1" min="3" max="3"/>
    <col width="31.22" customWidth="1" min="4" max="4"/>
    <col width="31.22" customWidth="1" min="5" max="5"/>
    <col width="31.22" customWidth="1" min="6" max="6"/>
    <col width="31.22" customWidth="1" min="7" max="7"/>
  </cols>
  <sheetData>
    <row r="1">
      <c r="A1" s="64" t="inlineStr">
        <is>
          <t>Table 4: Time series: number of returns to custody after licence recall, by sex and sentence, England and Wales</t>
        </is>
      </c>
    </row>
    <row r="2">
      <c r="A2" s="65" t="inlineStr">
        <is>
          <t>This worksheet contains one table.</t>
        </is>
      </c>
    </row>
    <row r="3">
      <c r="A3" s="66" t="inlineStr">
        <is>
          <t>Link to Contents tab</t>
        </is>
      </c>
    </row>
    <row r="4">
      <c r="A4" s="65" t="inlineStr">
        <is>
          <t>Source: Public Protection Unit Database (PPUD)</t>
        </is>
      </c>
    </row>
    <row r="5" ht="46.8" customHeight="1">
      <c r="A5" s="75" t="inlineStr">
        <is>
          <t>Sex</t>
        </is>
      </c>
      <c r="B5" s="75" t="inlineStr">
        <is>
          <t>Sentence type</t>
        </is>
      </c>
      <c r="C5" s="76" t="inlineStr">
        <is>
          <t>Recalled in Jan to Mar 2023 returned by 30 Jun 2023</t>
        </is>
      </c>
      <c r="D5" s="76" t="inlineStr">
        <is>
          <t>Recalled in Apr to Jun 2023 returned by 30 Sep 2023</t>
        </is>
      </c>
      <c r="E5" s="76" t="inlineStr">
        <is>
          <t>Recalled in Jul to Sep 2023 returned by 31 Dec 2023</t>
        </is>
      </c>
      <c r="F5" s="76" t="inlineStr">
        <is>
          <t>Recalled in Oct to Dec 2023 returned by 31 Mar 2024</t>
        </is>
      </c>
      <c r="G5" s="76" t="inlineStr">
        <is>
          <t>Recalled in Jan to Mar 2024 returned by 30 Jun 2024</t>
        </is>
      </c>
    </row>
    <row r="6" ht="24.9" customHeight="1">
      <c r="A6" s="77" t="inlineStr">
        <is>
          <t>Male and female</t>
        </is>
      </c>
      <c r="B6" s="77" t="inlineStr">
        <is>
          <t>All sentence types</t>
        </is>
      </c>
      <c r="C6" s="78" t="n">
        <v>6549</v>
      </c>
      <c r="D6" s="78" t="n">
        <v>6552</v>
      </c>
      <c r="E6" s="78" t="n">
        <v>6747</v>
      </c>
      <c r="F6" s="78" t="n">
        <v>6870</v>
      </c>
      <c r="G6" s="78" t="n">
        <v>7101</v>
      </c>
    </row>
    <row r="7">
      <c r="A7" s="77" t="inlineStr">
        <is>
          <t>Male and female</t>
        </is>
      </c>
      <c r="B7" s="77" t="inlineStr">
        <is>
          <t>Determinate less than 12 months</t>
        </is>
      </c>
      <c r="C7" s="78" t="n">
        <v>2605</v>
      </c>
      <c r="D7" s="78" t="n">
        <v>2664</v>
      </c>
      <c r="E7" s="78" t="n">
        <v>2782</v>
      </c>
      <c r="F7" s="78" t="n">
        <v>2926</v>
      </c>
      <c r="G7" s="78" t="n">
        <v>3130</v>
      </c>
    </row>
    <row r="8">
      <c r="A8" s="77" t="inlineStr">
        <is>
          <t>Male and female</t>
        </is>
      </c>
      <c r="B8" s="77" t="inlineStr">
        <is>
          <t>Determinate 12 months or more</t>
        </is>
      </c>
      <c r="C8" s="78" t="n">
        <v>3669</v>
      </c>
      <c r="D8" s="78" t="n">
        <v>3629</v>
      </c>
      <c r="E8" s="78" t="n">
        <v>3710</v>
      </c>
      <c r="F8" s="78" t="n">
        <v>3733</v>
      </c>
      <c r="G8" s="78" t="n">
        <v>3770</v>
      </c>
    </row>
    <row r="9">
      <c r="A9" s="77" t="inlineStr">
        <is>
          <t>Male and female</t>
        </is>
      </c>
      <c r="B9" s="77" t="inlineStr">
        <is>
          <t>IPP</t>
        </is>
      </c>
      <c r="C9" s="78" t="n">
        <v>174</v>
      </c>
      <c r="D9" s="78" t="n">
        <v>158</v>
      </c>
      <c r="E9" s="78" t="n">
        <v>173</v>
      </c>
      <c r="F9" s="78" t="n">
        <v>128</v>
      </c>
      <c r="G9" s="78" t="n">
        <v>135</v>
      </c>
    </row>
    <row r="10">
      <c r="A10" s="77" t="inlineStr">
        <is>
          <t>Male and female</t>
        </is>
      </c>
      <c r="B10" s="77" t="inlineStr">
        <is>
          <t>Life sentence</t>
        </is>
      </c>
      <c r="C10" s="78" t="n">
        <v>101</v>
      </c>
      <c r="D10" s="78" t="n">
        <v>101</v>
      </c>
      <c r="E10" s="78" t="n">
        <v>82</v>
      </c>
      <c r="F10" s="78" t="n">
        <v>83</v>
      </c>
      <c r="G10" s="78" t="n">
        <v>66</v>
      </c>
    </row>
    <row r="11" ht="24.9" customHeight="1">
      <c r="A11" s="77" t="inlineStr">
        <is>
          <t>Male</t>
        </is>
      </c>
      <c r="B11" s="77" t="inlineStr">
        <is>
          <t>All sentence types</t>
        </is>
      </c>
      <c r="C11" s="78" t="n">
        <v>6107</v>
      </c>
      <c r="D11" s="78" t="n">
        <v>6091</v>
      </c>
      <c r="E11" s="78" t="n">
        <v>6232</v>
      </c>
      <c r="F11" s="78" t="n">
        <v>6319</v>
      </c>
      <c r="G11" s="78" t="n">
        <v>6565</v>
      </c>
    </row>
    <row r="12">
      <c r="A12" s="77" t="inlineStr">
        <is>
          <t>Male</t>
        </is>
      </c>
      <c r="B12" s="77" t="inlineStr">
        <is>
          <t>Determinate less than 12 months</t>
        </is>
      </c>
      <c r="C12" s="78" t="n">
        <v>2362</v>
      </c>
      <c r="D12" s="78" t="n">
        <v>2399</v>
      </c>
      <c r="E12" s="78" t="n">
        <v>2486</v>
      </c>
      <c r="F12" s="78" t="n">
        <v>2627</v>
      </c>
      <c r="G12" s="78" t="n">
        <v>2819</v>
      </c>
    </row>
    <row r="13">
      <c r="A13" s="77" t="inlineStr">
        <is>
          <t>Male</t>
        </is>
      </c>
      <c r="B13" s="77" t="inlineStr">
        <is>
          <t>Determinate 12 months or more</t>
        </is>
      </c>
      <c r="C13" s="78" t="n">
        <v>3474</v>
      </c>
      <c r="D13" s="78" t="n">
        <v>3439</v>
      </c>
      <c r="E13" s="78" t="n">
        <v>3496</v>
      </c>
      <c r="F13" s="78" t="n">
        <v>3492</v>
      </c>
      <c r="G13" s="78" t="n">
        <v>3550</v>
      </c>
    </row>
    <row r="14">
      <c r="A14" s="77" t="inlineStr">
        <is>
          <t>Male</t>
        </is>
      </c>
      <c r="B14" s="77" t="inlineStr">
        <is>
          <t>IPP</t>
        </is>
      </c>
      <c r="C14" s="78" t="n">
        <v>170</v>
      </c>
      <c r="D14" s="78" t="n">
        <v>154</v>
      </c>
      <c r="E14" s="78" t="n">
        <v>169</v>
      </c>
      <c r="F14" s="78" t="n">
        <v>121</v>
      </c>
      <c r="G14" s="78" t="n">
        <v>132</v>
      </c>
    </row>
    <row r="15">
      <c r="A15" s="77" t="inlineStr">
        <is>
          <t>Male</t>
        </is>
      </c>
      <c r="B15" s="77" t="inlineStr">
        <is>
          <t>Life sentence</t>
        </is>
      </c>
      <c r="C15" s="78" t="n">
        <v>101</v>
      </c>
      <c r="D15" s="78" t="n">
        <v>99</v>
      </c>
      <c r="E15" s="78" t="n">
        <v>81</v>
      </c>
      <c r="F15" s="78" t="n">
        <v>79</v>
      </c>
      <c r="G15" s="78" t="n">
        <v>64</v>
      </c>
    </row>
    <row r="16" ht="24.9" customHeight="1">
      <c r="A16" s="77" t="inlineStr">
        <is>
          <t>Female</t>
        </is>
      </c>
      <c r="B16" s="77" t="inlineStr">
        <is>
          <t>All sentence types</t>
        </is>
      </c>
      <c r="C16" s="78" t="n">
        <v>442</v>
      </c>
      <c r="D16" s="78" t="n">
        <v>461</v>
      </c>
      <c r="E16" s="78" t="n">
        <v>515</v>
      </c>
      <c r="F16" s="78" t="n">
        <v>551</v>
      </c>
      <c r="G16" s="78" t="n">
        <v>536</v>
      </c>
    </row>
    <row r="17">
      <c r="A17" s="77" t="inlineStr">
        <is>
          <t>Female</t>
        </is>
      </c>
      <c r="B17" s="77" t="inlineStr">
        <is>
          <t>Determinate less than 12 months</t>
        </is>
      </c>
      <c r="C17" s="78" t="n">
        <v>243</v>
      </c>
      <c r="D17" s="78" t="n">
        <v>265</v>
      </c>
      <c r="E17" s="78" t="n">
        <v>296</v>
      </c>
      <c r="F17" s="78" t="n">
        <v>299</v>
      </c>
      <c r="G17" s="78" t="n">
        <v>311</v>
      </c>
    </row>
    <row r="18">
      <c r="A18" s="77" t="inlineStr">
        <is>
          <t>Female</t>
        </is>
      </c>
      <c r="B18" s="77" t="inlineStr">
        <is>
          <t>Determinate 12 months or more</t>
        </is>
      </c>
      <c r="C18" s="78" t="n">
        <v>195</v>
      </c>
      <c r="D18" s="78" t="n">
        <v>190</v>
      </c>
      <c r="E18" s="78" t="n">
        <v>214</v>
      </c>
      <c r="F18" s="78" t="n">
        <v>241</v>
      </c>
      <c r="G18" s="78" t="n">
        <v>220</v>
      </c>
    </row>
    <row r="19">
      <c r="A19" s="77" t="inlineStr">
        <is>
          <t>Female</t>
        </is>
      </c>
      <c r="B19" s="77" t="inlineStr">
        <is>
          <t>IPP</t>
        </is>
      </c>
      <c r="C19" s="78" t="n">
        <v>4</v>
      </c>
      <c r="D19" s="78" t="n">
        <v>4</v>
      </c>
      <c r="E19" s="78" t="n">
        <v>4</v>
      </c>
      <c r="F19" s="78" t="n">
        <v>7</v>
      </c>
      <c r="G19" s="78" t="n">
        <v>3</v>
      </c>
    </row>
    <row r="20">
      <c r="A20" s="77" t="inlineStr">
        <is>
          <t>Female</t>
        </is>
      </c>
      <c r="B20" s="77" t="inlineStr">
        <is>
          <t>Life sentence</t>
        </is>
      </c>
      <c r="C20" s="78" t="n">
        <v>0</v>
      </c>
      <c r="D20" s="78" t="n">
        <v>2</v>
      </c>
      <c r="E20" s="78" t="n">
        <v>1</v>
      </c>
      <c r="F20" s="78" t="n">
        <v>4</v>
      </c>
      <c r="G20" s="78" t="n">
        <v>2</v>
      </c>
    </row>
  </sheetData>
  <hyperlinks>
    <hyperlink xmlns:r="http://schemas.openxmlformats.org/officeDocument/2006/relationships" ref="A3"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0" customWidth="1" min="1" max="1"/>
    <col width="36" customWidth="1" min="2" max="2"/>
    <col width="31.22" customWidth="1" min="3" max="3"/>
    <col width="31.22" customWidth="1" min="4" max="4"/>
    <col width="31.22" customWidth="1" min="5" max="5"/>
    <col width="31.22" customWidth="1" min="6" max="6"/>
    <col width="31.22" customWidth="1" min="7" max="7"/>
  </cols>
  <sheetData>
    <row r="1">
      <c r="A1" s="64" t="inlineStr">
        <is>
          <t>Table 5: Time series: number of offenders not returned to custody after licence recall, by sex and sentence, England and Wales [note 2]</t>
        </is>
      </c>
    </row>
    <row r="2">
      <c r="A2" s="65" t="inlineStr">
        <is>
          <t>This worksheet contains one table.</t>
        </is>
      </c>
    </row>
    <row r="3">
      <c r="A3" s="66" t="inlineStr">
        <is>
          <t>Link to Contents tab</t>
        </is>
      </c>
    </row>
    <row r="4">
      <c r="A4" s="65" t="inlineStr">
        <is>
          <t>Source: Public Protection Unit Database (PPUD)</t>
        </is>
      </c>
    </row>
    <row r="5" ht="46.8" customHeight="1">
      <c r="A5" s="79" t="inlineStr">
        <is>
          <t>Sex</t>
        </is>
      </c>
      <c r="B5" s="79" t="inlineStr">
        <is>
          <t>Sentence type</t>
        </is>
      </c>
      <c r="C5" s="80" t="inlineStr">
        <is>
          <t>Recalled in Jan to Mar 2023 not returned by 30 Jun 2023</t>
        </is>
      </c>
      <c r="D5" s="80" t="inlineStr">
        <is>
          <t>Recalled in Apr to Jun 2023 not returned by 30 Sep 2023</t>
        </is>
      </c>
      <c r="E5" s="80" t="inlineStr">
        <is>
          <t>Recalled in Jul to Sep 2023 not returned by 31 Dec 2023</t>
        </is>
      </c>
      <c r="F5" s="80" t="inlineStr">
        <is>
          <t>Recalled in Oct to Dec 2023 not returned by 31 Mar 2024</t>
        </is>
      </c>
      <c r="G5" s="80" t="inlineStr">
        <is>
          <t>Recalled in Jan to Mar 2024 not returned by 30 Jun 2024</t>
        </is>
      </c>
    </row>
    <row r="6" ht="24.9" customHeight="1">
      <c r="A6" s="81" t="inlineStr">
        <is>
          <t>Male and female</t>
        </is>
      </c>
      <c r="B6" s="81" t="inlineStr">
        <is>
          <t>All sentence types</t>
        </is>
      </c>
      <c r="C6" s="82" t="n">
        <v>275</v>
      </c>
      <c r="D6" s="82" t="n">
        <v>262</v>
      </c>
      <c r="E6" s="82" t="n">
        <v>283</v>
      </c>
      <c r="F6" s="82" t="n">
        <v>282</v>
      </c>
      <c r="G6" s="82" t="n">
        <v>314</v>
      </c>
    </row>
    <row r="7">
      <c r="A7" s="81" t="inlineStr">
        <is>
          <t>Male and female</t>
        </is>
      </c>
      <c r="B7" s="81" t="inlineStr">
        <is>
          <t>Determinate less than 12 months</t>
        </is>
      </c>
      <c r="C7" s="82" t="n">
        <v>86</v>
      </c>
      <c r="D7" s="82" t="n">
        <v>69</v>
      </c>
      <c r="E7" s="82" t="n">
        <v>99</v>
      </c>
      <c r="F7" s="82" t="n">
        <v>99</v>
      </c>
      <c r="G7" s="82" t="n">
        <v>88</v>
      </c>
    </row>
    <row r="8">
      <c r="A8" s="81" t="inlineStr">
        <is>
          <t>Male and female</t>
        </is>
      </c>
      <c r="B8" s="81" t="inlineStr">
        <is>
          <t>Determinate 12 months or more</t>
        </is>
      </c>
      <c r="C8" s="82" t="n">
        <v>180</v>
      </c>
      <c r="D8" s="82" t="n">
        <v>181</v>
      </c>
      <c r="E8" s="82" t="n">
        <v>181</v>
      </c>
      <c r="F8" s="82" t="n">
        <v>175</v>
      </c>
      <c r="G8" s="82" t="n">
        <v>216</v>
      </c>
    </row>
    <row r="9">
      <c r="A9" s="81" t="inlineStr">
        <is>
          <t>Male and female</t>
        </is>
      </c>
      <c r="B9" s="81" t="inlineStr">
        <is>
          <t>IPP</t>
        </is>
      </c>
      <c r="C9" s="82" t="n">
        <v>7</v>
      </c>
      <c r="D9" s="82" t="n">
        <v>10</v>
      </c>
      <c r="E9" s="82" t="n">
        <v>2</v>
      </c>
      <c r="F9" s="82" t="n">
        <v>6</v>
      </c>
      <c r="G9" s="82" t="n">
        <v>9</v>
      </c>
    </row>
    <row r="10">
      <c r="A10" s="81" t="inlineStr">
        <is>
          <t>Male and female</t>
        </is>
      </c>
      <c r="B10" s="81" t="inlineStr">
        <is>
          <t>Life sentence</t>
        </is>
      </c>
      <c r="C10" s="82" t="n">
        <v>2</v>
      </c>
      <c r="D10" s="82" t="n">
        <v>2</v>
      </c>
      <c r="E10" s="82" t="n">
        <v>1</v>
      </c>
      <c r="F10" s="82" t="n">
        <v>2</v>
      </c>
      <c r="G10" s="82" t="n">
        <v>1</v>
      </c>
    </row>
    <row r="11" ht="24.9" customHeight="1">
      <c r="A11" s="81" t="inlineStr">
        <is>
          <t>Male</t>
        </is>
      </c>
      <c r="B11" s="81" t="inlineStr">
        <is>
          <t>All sentence types</t>
        </is>
      </c>
      <c r="C11" s="82" t="n">
        <v>255</v>
      </c>
      <c r="D11" s="82" t="n">
        <v>246</v>
      </c>
      <c r="E11" s="82" t="n">
        <v>257</v>
      </c>
      <c r="F11" s="82" t="n">
        <v>254</v>
      </c>
      <c r="G11" s="82" t="n">
        <v>287</v>
      </c>
    </row>
    <row r="12">
      <c r="A12" s="81" t="inlineStr">
        <is>
          <t>Male</t>
        </is>
      </c>
      <c r="B12" s="81" t="inlineStr">
        <is>
          <t>Determinate less than 12 months</t>
        </is>
      </c>
      <c r="C12" s="82" t="n">
        <v>82</v>
      </c>
      <c r="D12" s="82" t="n">
        <v>63</v>
      </c>
      <c r="E12" s="82" t="n">
        <v>86</v>
      </c>
      <c r="F12" s="82" t="n">
        <v>82</v>
      </c>
      <c r="G12" s="82" t="n">
        <v>82</v>
      </c>
    </row>
    <row r="13">
      <c r="A13" s="81" t="inlineStr">
        <is>
          <t>Male</t>
        </is>
      </c>
      <c r="B13" s="81" t="inlineStr">
        <is>
          <t>Determinate 12 months or more</t>
        </is>
      </c>
      <c r="C13" s="82" t="n">
        <v>164</v>
      </c>
      <c r="D13" s="82" t="n">
        <v>171</v>
      </c>
      <c r="E13" s="82" t="n">
        <v>168</v>
      </c>
      <c r="F13" s="82" t="n">
        <v>164</v>
      </c>
      <c r="G13" s="82" t="n">
        <v>195</v>
      </c>
    </row>
    <row r="14">
      <c r="A14" s="81" t="inlineStr">
        <is>
          <t>Male</t>
        </is>
      </c>
      <c r="B14" s="81" t="inlineStr">
        <is>
          <t>IPP</t>
        </is>
      </c>
      <c r="C14" s="82" t="n">
        <v>7</v>
      </c>
      <c r="D14" s="82" t="n">
        <v>10</v>
      </c>
      <c r="E14" s="82" t="n">
        <v>2</v>
      </c>
      <c r="F14" s="82" t="n">
        <v>6</v>
      </c>
      <c r="G14" s="82" t="n">
        <v>9</v>
      </c>
    </row>
    <row r="15">
      <c r="A15" s="81" t="inlineStr">
        <is>
          <t>Male</t>
        </is>
      </c>
      <c r="B15" s="81" t="inlineStr">
        <is>
          <t>Life sentence</t>
        </is>
      </c>
      <c r="C15" s="82" t="n">
        <v>2</v>
      </c>
      <c r="D15" s="82" t="n">
        <v>2</v>
      </c>
      <c r="E15" s="82" t="n">
        <v>1</v>
      </c>
      <c r="F15" s="82" t="n">
        <v>2</v>
      </c>
      <c r="G15" s="82" t="n">
        <v>1</v>
      </c>
    </row>
    <row r="16" ht="24.9" customHeight="1">
      <c r="A16" s="81" t="inlineStr">
        <is>
          <t>Female</t>
        </is>
      </c>
      <c r="B16" s="81" t="inlineStr">
        <is>
          <t>All sentence types</t>
        </is>
      </c>
      <c r="C16" s="82" t="n">
        <v>20</v>
      </c>
      <c r="D16" s="82" t="n">
        <v>16</v>
      </c>
      <c r="E16" s="82" t="n">
        <v>26</v>
      </c>
      <c r="F16" s="82" t="n">
        <v>28</v>
      </c>
      <c r="G16" s="82" t="n">
        <v>27</v>
      </c>
    </row>
    <row r="17">
      <c r="A17" s="81" t="inlineStr">
        <is>
          <t>Female</t>
        </is>
      </c>
      <c r="B17" s="81" t="inlineStr">
        <is>
          <t>Determinate less than 12 months</t>
        </is>
      </c>
      <c r="C17" s="82" t="n">
        <v>4</v>
      </c>
      <c r="D17" s="82" t="n">
        <v>6</v>
      </c>
      <c r="E17" s="82" t="n">
        <v>13</v>
      </c>
      <c r="F17" s="82" t="n">
        <v>17</v>
      </c>
      <c r="G17" s="82" t="n">
        <v>6</v>
      </c>
    </row>
    <row r="18">
      <c r="A18" s="81" t="inlineStr">
        <is>
          <t>Female</t>
        </is>
      </c>
      <c r="B18" s="81" t="inlineStr">
        <is>
          <t>Determinate 12 months or more</t>
        </is>
      </c>
      <c r="C18" s="82" t="n">
        <v>16</v>
      </c>
      <c r="D18" s="82" t="n">
        <v>10</v>
      </c>
      <c r="E18" s="82" t="n">
        <v>13</v>
      </c>
      <c r="F18" s="82" t="n">
        <v>11</v>
      </c>
      <c r="G18" s="82" t="n">
        <v>21</v>
      </c>
    </row>
    <row r="19">
      <c r="A19" s="81" t="inlineStr">
        <is>
          <t>Female</t>
        </is>
      </c>
      <c r="B19" s="81" t="inlineStr">
        <is>
          <t>IPP</t>
        </is>
      </c>
      <c r="C19" s="82" t="n">
        <v>0</v>
      </c>
      <c r="D19" s="82" t="n">
        <v>0</v>
      </c>
      <c r="E19" s="82" t="n">
        <v>0</v>
      </c>
      <c r="F19" s="82" t="n">
        <v>0</v>
      </c>
      <c r="G19" s="82" t="n">
        <v>0</v>
      </c>
    </row>
    <row r="20">
      <c r="A20" s="81" t="inlineStr">
        <is>
          <t>Female</t>
        </is>
      </c>
      <c r="B20" s="81" t="inlineStr">
        <is>
          <t>Life sentence</t>
        </is>
      </c>
      <c r="C20" s="82" t="n">
        <v>0</v>
      </c>
      <c r="D20" s="82" t="n">
        <v>0</v>
      </c>
      <c r="E20" s="82" t="n">
        <v>0</v>
      </c>
      <c r="F20" s="82" t="n">
        <v>0</v>
      </c>
      <c r="G20" s="82" t="n">
        <v>0</v>
      </c>
    </row>
  </sheetData>
  <hyperlinks>
    <hyperlink xmlns:r="http://schemas.openxmlformats.org/officeDocument/2006/relationships" ref="A3"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28" customWidth="1" min="1" max="1"/>
    <col width="28" customWidth="1" min="2" max="2"/>
    <col width="31.22" customWidth="1" min="3" max="3"/>
    <col width="31.22" customWidth="1" min="4" max="4"/>
    <col width="31.22" customWidth="1" min="5" max="5"/>
    <col width="31.22" customWidth="1" min="6" max="6"/>
    <col width="31.22" customWidth="1" min="7" max="7"/>
  </cols>
  <sheetData>
    <row r="1">
      <c r="A1" s="64" t="inlineStr">
        <is>
          <t>Table 6: Time series: Table 5.6: Number of recalls from licence by recall process and return to custody status, England and Wales [note 4][note 5]</t>
        </is>
      </c>
    </row>
    <row r="2">
      <c r="A2" s="65" t="inlineStr">
        <is>
          <t>This worksheet contains one table.</t>
        </is>
      </c>
    </row>
    <row r="3">
      <c r="A3" s="66" t="inlineStr">
        <is>
          <t>Link to Contents tab</t>
        </is>
      </c>
    </row>
    <row r="4">
      <c r="A4" s="65" t="inlineStr">
        <is>
          <t>Source: Public Protection Unit Database (PPUD)</t>
        </is>
      </c>
    </row>
    <row r="5" ht="46.8" customHeight="1">
      <c r="A5" s="83" t="inlineStr">
        <is>
          <t>Recall process</t>
        </is>
      </c>
      <c r="B5" s="83" t="inlineStr">
        <is>
          <t>Return status</t>
        </is>
      </c>
      <c r="C5" s="84" t="inlineStr">
        <is>
          <t>Recalled in Jan to Mar 2023 returned by 30 Jun 2023</t>
        </is>
      </c>
      <c r="D5" s="84" t="inlineStr">
        <is>
          <t>Recalled in Apr to Jun 2023 returned by 30 Sep 2023</t>
        </is>
      </c>
      <c r="E5" s="84" t="inlineStr">
        <is>
          <t>Recalled in Jul to Sep 2023 returned by 31 Dec 2023</t>
        </is>
      </c>
      <c r="F5" s="84" t="inlineStr">
        <is>
          <t>Recalled in Oct to Dec 2023 returned by 31 Mar 2024</t>
        </is>
      </c>
      <c r="G5" s="84" t="inlineStr">
        <is>
          <t>Recalled in Jan to Mar 2024 returned by 30 Jun 2024</t>
        </is>
      </c>
    </row>
    <row r="6" ht="24.9" customHeight="1">
      <c r="A6" s="85" t="inlineStr">
        <is>
          <t>All recall processes</t>
        </is>
      </c>
      <c r="B6" s="85" t="inlineStr">
        <is>
          <t>All return statuses</t>
        </is>
      </c>
      <c r="C6" s="86" t="n">
        <v>6824</v>
      </c>
      <c r="D6" s="86" t="n">
        <v>6814</v>
      </c>
      <c r="E6" s="86" t="n">
        <v>7030</v>
      </c>
      <c r="F6" s="86" t="n">
        <v>7152</v>
      </c>
      <c r="G6" s="86" t="n">
        <v>7415</v>
      </c>
    </row>
    <row r="7">
      <c r="A7" s="85" t="inlineStr">
        <is>
          <t>All recall processes</t>
        </is>
      </c>
      <c r="B7" s="85" t="inlineStr">
        <is>
          <t>Returned in target</t>
        </is>
      </c>
      <c r="C7" s="86" t="n">
        <v>4333</v>
      </c>
      <c r="D7" s="86" t="n">
        <v>4093</v>
      </c>
      <c r="E7" s="86" t="n">
        <v>4182</v>
      </c>
      <c r="F7" s="86" t="n">
        <v>4263</v>
      </c>
      <c r="G7" s="86" t="n">
        <v>4516</v>
      </c>
    </row>
    <row r="8">
      <c r="A8" s="85" t="inlineStr">
        <is>
          <t>All recall processes</t>
        </is>
      </c>
      <c r="B8" s="85" t="inlineStr">
        <is>
          <t>Returned outside target</t>
        </is>
      </c>
      <c r="C8" s="86" t="n">
        <v>2216</v>
      </c>
      <c r="D8" s="86" t="n">
        <v>2459</v>
      </c>
      <c r="E8" s="86" t="n">
        <v>2565</v>
      </c>
      <c r="F8" s="86" t="n">
        <v>2607</v>
      </c>
      <c r="G8" s="86" t="n">
        <v>2585</v>
      </c>
    </row>
    <row r="9">
      <c r="A9" s="85" t="inlineStr">
        <is>
          <t>All recall processes</t>
        </is>
      </c>
      <c r="B9" s="85" t="inlineStr">
        <is>
          <t>Not returned</t>
        </is>
      </c>
      <c r="C9" s="86" t="n">
        <v>275</v>
      </c>
      <c r="D9" s="86" t="n">
        <v>262</v>
      </c>
      <c r="E9" s="86" t="n">
        <v>283</v>
      </c>
      <c r="F9" s="86" t="n">
        <v>282</v>
      </c>
      <c r="G9" s="86" t="n">
        <v>314</v>
      </c>
    </row>
    <row r="10" ht="24.9" customHeight="1">
      <c r="A10" s="85" t="inlineStr">
        <is>
          <t>Determinate Standard</t>
        </is>
      </c>
      <c r="B10" s="85" t="inlineStr">
        <is>
          <t>All return statuses</t>
        </is>
      </c>
      <c r="C10" s="86" t="n">
        <v>5249</v>
      </c>
      <c r="D10" s="86" t="n">
        <v>5158</v>
      </c>
      <c r="E10" s="86" t="n">
        <v>5404</v>
      </c>
      <c r="F10" s="86" t="n">
        <v>5532</v>
      </c>
      <c r="G10" s="86" t="n">
        <v>5750</v>
      </c>
    </row>
    <row r="11">
      <c r="A11" s="85" t="inlineStr">
        <is>
          <t>Determinate Standard</t>
        </is>
      </c>
      <c r="B11" s="85" t="inlineStr">
        <is>
          <t>Returned in target</t>
        </is>
      </c>
      <c r="C11" s="86" t="n">
        <v>3327</v>
      </c>
      <c r="D11" s="86" t="n">
        <v>3036</v>
      </c>
      <c r="E11" s="86" t="n">
        <v>3183</v>
      </c>
      <c r="F11" s="86" t="n">
        <v>3274</v>
      </c>
      <c r="G11" s="86" t="n">
        <v>3507</v>
      </c>
    </row>
    <row r="12">
      <c r="A12" s="85" t="inlineStr">
        <is>
          <t>Determinate Standard</t>
        </is>
      </c>
      <c r="B12" s="85" t="inlineStr">
        <is>
          <t>Returned outside target</t>
        </is>
      </c>
      <c r="C12" s="86" t="n">
        <v>1693</v>
      </c>
      <c r="D12" s="86" t="n">
        <v>1901</v>
      </c>
      <c r="E12" s="86" t="n">
        <v>1980</v>
      </c>
      <c r="F12" s="86" t="n">
        <v>2022</v>
      </c>
      <c r="G12" s="86" t="n">
        <v>1974</v>
      </c>
    </row>
    <row r="13">
      <c r="A13" s="85" t="inlineStr">
        <is>
          <t>Determinate Standard</t>
        </is>
      </c>
      <c r="B13" s="85" t="inlineStr">
        <is>
          <t>Not returned</t>
        </is>
      </c>
      <c r="C13" s="86" t="n">
        <v>229</v>
      </c>
      <c r="D13" s="86" t="n">
        <v>221</v>
      </c>
      <c r="E13" s="86" t="n">
        <v>241</v>
      </c>
      <c r="F13" s="86" t="n">
        <v>236</v>
      </c>
      <c r="G13" s="86" t="n">
        <v>269</v>
      </c>
    </row>
    <row r="14" ht="24.9" customHeight="1">
      <c r="A14" s="85" t="inlineStr">
        <is>
          <t>Determinate Emergency</t>
        </is>
      </c>
      <c r="B14" s="85" t="inlineStr">
        <is>
          <t>All return statuses</t>
        </is>
      </c>
      <c r="C14" s="86" t="n">
        <v>1291</v>
      </c>
      <c r="D14" s="86" t="n">
        <v>1385</v>
      </c>
      <c r="E14" s="86" t="n">
        <v>1368</v>
      </c>
      <c r="F14" s="86" t="n">
        <v>1401</v>
      </c>
      <c r="G14" s="86" t="n">
        <v>1454</v>
      </c>
    </row>
    <row r="15">
      <c r="A15" s="85" t="inlineStr">
        <is>
          <t>Determinate Emergency</t>
        </is>
      </c>
      <c r="B15" s="85" t="inlineStr">
        <is>
          <t>Returned in target</t>
        </is>
      </c>
      <c r="C15" s="86" t="n">
        <v>808</v>
      </c>
      <c r="D15" s="86" t="n">
        <v>862</v>
      </c>
      <c r="E15" s="86" t="n">
        <v>821</v>
      </c>
      <c r="F15" s="86" t="n">
        <v>835</v>
      </c>
      <c r="G15" s="86" t="n">
        <v>869</v>
      </c>
    </row>
    <row r="16">
      <c r="A16" s="85" t="inlineStr">
        <is>
          <t>Determinate Emergency</t>
        </is>
      </c>
      <c r="B16" s="85" t="inlineStr">
        <is>
          <t>Returned outside target</t>
        </is>
      </c>
      <c r="C16" s="86" t="n">
        <v>446</v>
      </c>
      <c r="D16" s="86" t="n">
        <v>494</v>
      </c>
      <c r="E16" s="86" t="n">
        <v>508</v>
      </c>
      <c r="F16" s="86" t="n">
        <v>528</v>
      </c>
      <c r="G16" s="86" t="n">
        <v>550</v>
      </c>
    </row>
    <row r="17">
      <c r="A17" s="85" t="inlineStr">
        <is>
          <t>Determinate Emergency</t>
        </is>
      </c>
      <c r="B17" s="85" t="inlineStr">
        <is>
          <t>Not returned</t>
        </is>
      </c>
      <c r="C17" s="86" t="n">
        <v>37</v>
      </c>
      <c r="D17" s="86" t="n">
        <v>29</v>
      </c>
      <c r="E17" s="86" t="n">
        <v>39</v>
      </c>
      <c r="F17" s="86" t="n">
        <v>38</v>
      </c>
      <c r="G17" s="86" t="n">
        <v>35</v>
      </c>
    </row>
    <row r="18" ht="24.9" customHeight="1">
      <c r="A18" s="85" t="inlineStr">
        <is>
          <t>Indeterminate Emergency</t>
        </is>
      </c>
      <c r="B18" s="85" t="inlineStr">
        <is>
          <t>All return statuses</t>
        </is>
      </c>
      <c r="C18" s="86" t="n">
        <v>284</v>
      </c>
      <c r="D18" s="86" t="n">
        <v>271</v>
      </c>
      <c r="E18" s="86" t="n">
        <v>258</v>
      </c>
      <c r="F18" s="86" t="n">
        <v>219</v>
      </c>
      <c r="G18" s="86" t="n">
        <v>211</v>
      </c>
    </row>
    <row r="19">
      <c r="A19" s="85" t="inlineStr">
        <is>
          <t>Indeterminate Emergency</t>
        </is>
      </c>
      <c r="B19" s="85" t="inlineStr">
        <is>
          <t>Returned in target</t>
        </is>
      </c>
      <c r="C19" s="86" t="n">
        <v>198</v>
      </c>
      <c r="D19" s="86" t="n">
        <v>195</v>
      </c>
      <c r="E19" s="86" t="n">
        <v>178</v>
      </c>
      <c r="F19" s="86" t="n">
        <v>154</v>
      </c>
      <c r="G19" s="86" t="n">
        <v>140</v>
      </c>
    </row>
    <row r="20">
      <c r="A20" s="85" t="inlineStr">
        <is>
          <t>Indeterminate Emergency</t>
        </is>
      </c>
      <c r="B20" s="85" t="inlineStr">
        <is>
          <t>Returned outside target</t>
        </is>
      </c>
      <c r="C20" s="86" t="n">
        <v>77</v>
      </c>
      <c r="D20" s="86" t="n">
        <v>64</v>
      </c>
      <c r="E20" s="86" t="n">
        <v>77</v>
      </c>
      <c r="F20" s="86" t="n">
        <v>57</v>
      </c>
      <c r="G20" s="86" t="n">
        <v>61</v>
      </c>
    </row>
    <row r="21">
      <c r="A21" s="85" t="inlineStr">
        <is>
          <t>Indeterminate Emergency</t>
        </is>
      </c>
      <c r="B21" s="85" t="inlineStr">
        <is>
          <t>Not returned</t>
        </is>
      </c>
      <c r="C21" s="86" t="n">
        <v>9</v>
      </c>
      <c r="D21" s="86" t="n">
        <v>12</v>
      </c>
      <c r="E21" s="86" t="n">
        <v>3</v>
      </c>
      <c r="F21" s="86" t="n">
        <v>8</v>
      </c>
      <c r="G21" s="86" t="n">
        <v>10</v>
      </c>
    </row>
  </sheetData>
  <hyperlinks>
    <hyperlink xmlns:r="http://schemas.openxmlformats.org/officeDocument/2006/relationships" ref="A3"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20" customWidth="1" min="1" max="1"/>
    <col width="36" customWidth="1" min="2" max="2"/>
    <col width="39" customWidth="1" min="3" max="3"/>
    <col width="44" customWidth="1" min="4" max="4"/>
    <col width="44" customWidth="1" min="5" max="5"/>
    <col width="44" customWidth="1" min="6" max="6"/>
    <col width="44" customWidth="1" min="7" max="7"/>
    <col width="44" customWidth="1" min="8" max="8"/>
  </cols>
  <sheetData>
    <row r="1">
      <c r="A1" s="64" t="inlineStr">
        <is>
          <t>Table 7: Time series: number of offenders not returned to custody after licence recall, by sex, sentence and supervising body, England and Wales [note 2] [note 6]</t>
        </is>
      </c>
    </row>
    <row r="2">
      <c r="A2" s="65" t="inlineStr">
        <is>
          <t>This worksheet contains one table.</t>
        </is>
      </c>
    </row>
    <row r="3">
      <c r="A3" s="66" t="inlineStr">
        <is>
          <t>Link to Contents tab</t>
        </is>
      </c>
    </row>
    <row r="4">
      <c r="A4" s="65" t="inlineStr">
        <is>
          <t>Source: Public Protection Unit Database (PPUD)</t>
        </is>
      </c>
    </row>
    <row r="5" ht="46.8" customHeight="1">
      <c r="A5" s="87" t="inlineStr">
        <is>
          <t>Sex</t>
        </is>
      </c>
      <c r="B5" s="87" t="inlineStr">
        <is>
          <t>Sentence type</t>
        </is>
      </c>
      <c r="C5" s="87" t="inlineStr">
        <is>
          <t>Supervising body</t>
        </is>
      </c>
      <c r="D5" s="88" t="inlineStr">
        <is>
          <t>Recalled between 1984 and 31 Mar 2023 not returned by 30 Jun 2023</t>
        </is>
      </c>
      <c r="E5" s="88" t="inlineStr">
        <is>
          <t>Recalled between 1984 and 30 Jun 2023 not returned by 30 Sep 2023</t>
        </is>
      </c>
      <c r="F5" s="88" t="inlineStr">
        <is>
          <t>Recalled between 1984 and 30 Sep 2023 not returned by 31 Dec 2023</t>
        </is>
      </c>
      <c r="G5" s="88" t="inlineStr">
        <is>
          <t>Recalled between 1984 and 31 Dec 2023 not returned by 31 Mar 2024</t>
        </is>
      </c>
      <c r="H5" s="88" t="inlineStr">
        <is>
          <t>Recalled between 1984 and 31 Mar 2024 not returned by 30 Jun 2024</t>
        </is>
      </c>
    </row>
    <row r="6" ht="24.9" customHeight="1">
      <c r="A6" s="89" t="inlineStr">
        <is>
          <t>Male and female</t>
        </is>
      </c>
      <c r="B6" s="89" t="inlineStr">
        <is>
          <t>All sentence types</t>
        </is>
      </c>
      <c r="C6" s="89" t="inlineStr">
        <is>
          <t>All supervising bodies</t>
        </is>
      </c>
      <c r="D6" s="90" t="n">
        <v>2284</v>
      </c>
      <c r="E6" s="90" t="n">
        <v>2317</v>
      </c>
      <c r="F6" s="90" t="n">
        <v>2376</v>
      </c>
      <c r="G6" s="90" t="n">
        <v>2416</v>
      </c>
      <c r="H6" s="90" t="n">
        <v>2507</v>
      </c>
    </row>
    <row r="7">
      <c r="A7" s="89" t="inlineStr">
        <is>
          <t>Male and female</t>
        </is>
      </c>
      <c r="B7" s="89" t="inlineStr">
        <is>
          <t>All sentence types</t>
        </is>
      </c>
      <c r="C7" s="89" t="inlineStr">
        <is>
          <t>National probation</t>
        </is>
      </c>
      <c r="D7" s="90" t="n">
        <v>1674</v>
      </c>
      <c r="E7" s="90" t="n">
        <v>1715</v>
      </c>
      <c r="F7" s="90" t="n">
        <v>1778</v>
      </c>
      <c r="G7" s="90" t="n">
        <v>1824</v>
      </c>
      <c r="H7" s="90" t="n">
        <v>1918</v>
      </c>
    </row>
    <row r="8">
      <c r="A8" s="89" t="inlineStr">
        <is>
          <t>Male and female</t>
        </is>
      </c>
      <c r="B8" s="89" t="inlineStr">
        <is>
          <t>All sentence types</t>
        </is>
      </c>
      <c r="C8" s="89" t="inlineStr">
        <is>
          <t>Probation trust</t>
        </is>
      </c>
      <c r="D8" s="90" t="n">
        <v>606</v>
      </c>
      <c r="E8" s="90" t="n">
        <v>602</v>
      </c>
      <c r="F8" s="90" t="n">
        <v>598</v>
      </c>
      <c r="G8" s="90" t="n">
        <v>592</v>
      </c>
      <c r="H8" s="90" t="n">
        <v>589</v>
      </c>
    </row>
    <row r="9">
      <c r="A9" s="89" t="inlineStr">
        <is>
          <t>Male and female</t>
        </is>
      </c>
      <c r="B9" s="89" t="inlineStr">
        <is>
          <t>All sentence types</t>
        </is>
      </c>
      <c r="C9" s="89" t="inlineStr">
        <is>
          <t>Community rehabilitation companies</t>
        </is>
      </c>
      <c r="D9" s="90" t="n">
        <v>4</v>
      </c>
      <c r="E9" s="90" t="n">
        <v>0</v>
      </c>
      <c r="F9" s="90" t="n">
        <v>0</v>
      </c>
      <c r="G9" s="90" t="n">
        <v>0</v>
      </c>
      <c r="H9" s="90" t="n">
        <v>0</v>
      </c>
    </row>
    <row r="10" ht="24.9" customHeight="1">
      <c r="A10" s="89" t="inlineStr">
        <is>
          <t>Male and female</t>
        </is>
      </c>
      <c r="B10" s="89" t="inlineStr">
        <is>
          <t>Determinate less than 12 months</t>
        </is>
      </c>
      <c r="C10" s="89" t="inlineStr">
        <is>
          <t>All supervising bodies</t>
        </is>
      </c>
      <c r="D10" s="90" t="n">
        <v>561</v>
      </c>
      <c r="E10" s="90" t="n">
        <v>557</v>
      </c>
      <c r="F10" s="90" t="n">
        <v>599</v>
      </c>
      <c r="G10" s="90" t="n">
        <v>613</v>
      </c>
      <c r="H10" s="90" t="n">
        <v>628</v>
      </c>
    </row>
    <row r="11">
      <c r="A11" s="89" t="inlineStr">
        <is>
          <t>Male and female</t>
        </is>
      </c>
      <c r="B11" s="89" t="inlineStr">
        <is>
          <t>Determinate less than 12 months</t>
        </is>
      </c>
      <c r="C11" s="89" t="inlineStr">
        <is>
          <t>National probation</t>
        </is>
      </c>
      <c r="D11" s="90" t="n">
        <v>558</v>
      </c>
      <c r="E11" s="90" t="n">
        <v>557</v>
      </c>
      <c r="F11" s="90" t="n">
        <v>599</v>
      </c>
      <c r="G11" s="90" t="n">
        <v>613</v>
      </c>
      <c r="H11" s="90" t="n">
        <v>628</v>
      </c>
    </row>
    <row r="12">
      <c r="A12" s="89" t="inlineStr">
        <is>
          <t>Male and female</t>
        </is>
      </c>
      <c r="B12" s="89" t="inlineStr">
        <is>
          <t>Determinate less than 12 months</t>
        </is>
      </c>
      <c r="C12" s="89" t="inlineStr">
        <is>
          <t>Probation trust</t>
        </is>
      </c>
      <c r="D12" s="90" t="n">
        <v>0</v>
      </c>
      <c r="E12" s="90" t="n">
        <v>0</v>
      </c>
      <c r="F12" s="90" t="n">
        <v>0</v>
      </c>
      <c r="G12" s="90" t="n">
        <v>0</v>
      </c>
      <c r="H12" s="90" t="n">
        <v>0</v>
      </c>
    </row>
    <row r="13">
      <c r="A13" s="89" t="inlineStr">
        <is>
          <t>Male and female</t>
        </is>
      </c>
      <c r="B13" s="89" t="inlineStr">
        <is>
          <t>Determinate less than 12 months</t>
        </is>
      </c>
      <c r="C13" s="89" t="inlineStr">
        <is>
          <t>Community rehabilitation companies</t>
        </is>
      </c>
      <c r="D13" s="90" t="n">
        <v>3</v>
      </c>
      <c r="E13" s="90" t="n">
        <v>0</v>
      </c>
      <c r="F13" s="90" t="n">
        <v>0</v>
      </c>
      <c r="G13" s="90" t="n">
        <v>0</v>
      </c>
      <c r="H13" s="90" t="n">
        <v>0</v>
      </c>
    </row>
    <row r="14" ht="24.9" customHeight="1">
      <c r="A14" s="89" t="inlineStr">
        <is>
          <t>Male and female</t>
        </is>
      </c>
      <c r="B14" s="89" t="inlineStr">
        <is>
          <t>Determinate 12 months or more</t>
        </is>
      </c>
      <c r="C14" s="89" t="inlineStr">
        <is>
          <t>All supervising bodies</t>
        </is>
      </c>
      <c r="D14" s="90" t="n">
        <v>1643</v>
      </c>
      <c r="E14" s="90" t="n">
        <v>1675</v>
      </c>
      <c r="F14" s="90" t="n">
        <v>1697</v>
      </c>
      <c r="G14" s="90" t="n">
        <v>1719</v>
      </c>
      <c r="H14" s="90" t="n">
        <v>1794</v>
      </c>
    </row>
    <row r="15">
      <c r="A15" s="89" t="inlineStr">
        <is>
          <t>Male and female</t>
        </is>
      </c>
      <c r="B15" s="89" t="inlineStr">
        <is>
          <t>Determinate 12 months or more</t>
        </is>
      </c>
      <c r="C15" s="89" t="inlineStr">
        <is>
          <t>National probation</t>
        </is>
      </c>
      <c r="D15" s="90" t="n">
        <v>1049</v>
      </c>
      <c r="E15" s="90" t="n">
        <v>1086</v>
      </c>
      <c r="F15" s="90" t="n">
        <v>1112</v>
      </c>
      <c r="G15" s="90" t="n">
        <v>1140</v>
      </c>
      <c r="H15" s="90" t="n">
        <v>1218</v>
      </c>
    </row>
    <row r="16">
      <c r="A16" s="89" t="inlineStr">
        <is>
          <t>Male and female</t>
        </is>
      </c>
      <c r="B16" s="89" t="inlineStr">
        <is>
          <t>Determinate 12 months or more</t>
        </is>
      </c>
      <c r="C16" s="89" t="inlineStr">
        <is>
          <t>Probation trust</t>
        </is>
      </c>
      <c r="D16" s="90" t="n">
        <v>593</v>
      </c>
      <c r="E16" s="90" t="n">
        <v>589</v>
      </c>
      <c r="F16" s="90" t="n">
        <v>585</v>
      </c>
      <c r="G16" s="90" t="n">
        <v>579</v>
      </c>
      <c r="H16" s="90" t="n">
        <v>576</v>
      </c>
    </row>
    <row r="17">
      <c r="A17" s="89" t="inlineStr">
        <is>
          <t>Male and female</t>
        </is>
      </c>
      <c r="B17" s="89" t="inlineStr">
        <is>
          <t>Determinate 12 months or more</t>
        </is>
      </c>
      <c r="C17" s="89" t="inlineStr">
        <is>
          <t>Community rehabilitation companies</t>
        </is>
      </c>
      <c r="D17" s="90" t="n">
        <v>1</v>
      </c>
      <c r="E17" s="90" t="n">
        <v>0</v>
      </c>
      <c r="F17" s="90" t="n">
        <v>0</v>
      </c>
      <c r="G17" s="90" t="n">
        <v>0</v>
      </c>
      <c r="H17" s="90" t="n">
        <v>0</v>
      </c>
    </row>
    <row r="18" ht="24.9" customHeight="1">
      <c r="A18" s="89" t="inlineStr">
        <is>
          <t>Male and female</t>
        </is>
      </c>
      <c r="B18" s="89" t="inlineStr">
        <is>
          <t>IPP</t>
        </is>
      </c>
      <c r="C18" s="89" t="inlineStr">
        <is>
          <t>All supervising bodies</t>
        </is>
      </c>
      <c r="D18" s="90" t="n">
        <v>42</v>
      </c>
      <c r="E18" s="90" t="n">
        <v>47</v>
      </c>
      <c r="F18" s="90" t="n">
        <v>42</v>
      </c>
      <c r="G18" s="90" t="n">
        <v>47</v>
      </c>
      <c r="H18" s="90" t="n">
        <v>51</v>
      </c>
    </row>
    <row r="19">
      <c r="A19" s="89" t="inlineStr">
        <is>
          <t>Male and female</t>
        </is>
      </c>
      <c r="B19" s="89" t="inlineStr">
        <is>
          <t>IPP</t>
        </is>
      </c>
      <c r="C19" s="89" t="inlineStr">
        <is>
          <t>National probation</t>
        </is>
      </c>
      <c r="D19" s="90" t="n">
        <v>41</v>
      </c>
      <c r="E19" s="90" t="n">
        <v>46</v>
      </c>
      <c r="F19" s="90" t="n">
        <v>41</v>
      </c>
      <c r="G19" s="90" t="n">
        <v>46</v>
      </c>
      <c r="H19" s="90" t="n">
        <v>50</v>
      </c>
    </row>
    <row r="20">
      <c r="A20" s="89" t="inlineStr">
        <is>
          <t>Male and female</t>
        </is>
      </c>
      <c r="B20" s="89" t="inlineStr">
        <is>
          <t>IPP</t>
        </is>
      </c>
      <c r="C20" s="89" t="inlineStr">
        <is>
          <t>Probation trust</t>
        </is>
      </c>
      <c r="D20" s="90" t="n">
        <v>1</v>
      </c>
      <c r="E20" s="90" t="n">
        <v>1</v>
      </c>
      <c r="F20" s="90" t="n">
        <v>1</v>
      </c>
      <c r="G20" s="90" t="n">
        <v>1</v>
      </c>
      <c r="H20" s="90" t="n">
        <v>1</v>
      </c>
    </row>
    <row r="21">
      <c r="A21" s="89" t="inlineStr">
        <is>
          <t>Male and female</t>
        </is>
      </c>
      <c r="B21" s="89" t="inlineStr">
        <is>
          <t>IPP</t>
        </is>
      </c>
      <c r="C21" s="89" t="inlineStr">
        <is>
          <t>Community rehabilitation companies</t>
        </is>
      </c>
      <c r="D21" s="90" t="n">
        <v>0</v>
      </c>
      <c r="E21" s="90" t="n">
        <v>0</v>
      </c>
      <c r="F21" s="90" t="n">
        <v>0</v>
      </c>
      <c r="G21" s="90" t="n">
        <v>0</v>
      </c>
      <c r="H21" s="90" t="n">
        <v>0</v>
      </c>
    </row>
    <row r="22" ht="24.9" customHeight="1">
      <c r="A22" s="89" t="inlineStr">
        <is>
          <t>Male and female</t>
        </is>
      </c>
      <c r="B22" s="89" t="inlineStr">
        <is>
          <t>Life sentence</t>
        </is>
      </c>
      <c r="C22" s="89" t="inlineStr">
        <is>
          <t>All supervising bodies</t>
        </is>
      </c>
      <c r="D22" s="90" t="n">
        <v>38</v>
      </c>
      <c r="E22" s="90" t="n">
        <v>38</v>
      </c>
      <c r="F22" s="90" t="n">
        <v>38</v>
      </c>
      <c r="G22" s="90" t="n">
        <v>37</v>
      </c>
      <c r="H22" s="90" t="n">
        <v>34</v>
      </c>
    </row>
    <row r="23">
      <c r="A23" s="89" t="inlineStr">
        <is>
          <t>Male and female</t>
        </is>
      </c>
      <c r="B23" s="89" t="inlineStr">
        <is>
          <t>Life sentence</t>
        </is>
      </c>
      <c r="C23" s="89" t="inlineStr">
        <is>
          <t>National probation</t>
        </is>
      </c>
      <c r="D23" s="90" t="n">
        <v>26</v>
      </c>
      <c r="E23" s="90" t="n">
        <v>26</v>
      </c>
      <c r="F23" s="90" t="n">
        <v>26</v>
      </c>
      <c r="G23" s="90" t="n">
        <v>25</v>
      </c>
      <c r="H23" s="90" t="n">
        <v>22</v>
      </c>
    </row>
    <row r="24">
      <c r="A24" s="89" t="inlineStr">
        <is>
          <t>Male and female</t>
        </is>
      </c>
      <c r="B24" s="89" t="inlineStr">
        <is>
          <t>Life sentence</t>
        </is>
      </c>
      <c r="C24" s="89" t="inlineStr">
        <is>
          <t>Probation trust</t>
        </is>
      </c>
      <c r="D24" s="90" t="n">
        <v>12</v>
      </c>
      <c r="E24" s="90" t="n">
        <v>12</v>
      </c>
      <c r="F24" s="90" t="n">
        <v>12</v>
      </c>
      <c r="G24" s="90" t="n">
        <v>12</v>
      </c>
      <c r="H24" s="90" t="n">
        <v>12</v>
      </c>
    </row>
    <row r="25">
      <c r="A25" s="89" t="inlineStr">
        <is>
          <t>Male and female</t>
        </is>
      </c>
      <c r="B25" s="89" t="inlineStr">
        <is>
          <t>Life sentence</t>
        </is>
      </c>
      <c r="C25" s="89" t="inlineStr">
        <is>
          <t>Community rehabilitation companies</t>
        </is>
      </c>
      <c r="D25" s="90" t="n">
        <v>0</v>
      </c>
      <c r="E25" s="90" t="n">
        <v>0</v>
      </c>
      <c r="F25" s="90" t="n">
        <v>0</v>
      </c>
      <c r="G25" s="90" t="n">
        <v>0</v>
      </c>
      <c r="H25" s="90" t="n">
        <v>0</v>
      </c>
    </row>
    <row r="26" ht="24.9" customHeight="1">
      <c r="A26" s="89" t="inlineStr">
        <is>
          <t>Male</t>
        </is>
      </c>
      <c r="B26" s="89" t="inlineStr">
        <is>
          <t>All sentence types</t>
        </is>
      </c>
      <c r="C26" s="89" t="inlineStr">
        <is>
          <t>All supervising bodies</t>
        </is>
      </c>
      <c r="D26" s="90" t="n">
        <v>2142</v>
      </c>
      <c r="E26" s="90" t="n">
        <v>2182</v>
      </c>
      <c r="F26" s="90" t="n">
        <v>2226</v>
      </c>
      <c r="G26" s="90" t="n">
        <v>2265</v>
      </c>
      <c r="H26" s="90" t="n">
        <v>2354</v>
      </c>
    </row>
    <row r="27">
      <c r="A27" s="89" t="inlineStr">
        <is>
          <t>Male</t>
        </is>
      </c>
      <c r="B27" s="89" t="inlineStr">
        <is>
          <t>All sentence types</t>
        </is>
      </c>
      <c r="C27" s="89" t="inlineStr">
        <is>
          <t>National probation</t>
        </is>
      </c>
      <c r="D27" s="90" t="n">
        <v>1580</v>
      </c>
      <c r="E27" s="90" t="n">
        <v>1627</v>
      </c>
      <c r="F27" s="90" t="n">
        <v>1675</v>
      </c>
      <c r="G27" s="90" t="n">
        <v>1719</v>
      </c>
      <c r="H27" s="90" t="n">
        <v>1811</v>
      </c>
    </row>
    <row r="28">
      <c r="A28" s="89" t="inlineStr">
        <is>
          <t>Male</t>
        </is>
      </c>
      <c r="B28" s="89" t="inlineStr">
        <is>
          <t>All sentence types</t>
        </is>
      </c>
      <c r="C28" s="89" t="inlineStr">
        <is>
          <t>Probation trust</t>
        </is>
      </c>
      <c r="D28" s="90" t="n">
        <v>558</v>
      </c>
      <c r="E28" s="90" t="n">
        <v>555</v>
      </c>
      <c r="F28" s="90" t="n">
        <v>551</v>
      </c>
      <c r="G28" s="90" t="n">
        <v>546</v>
      </c>
      <c r="H28" s="90" t="n">
        <v>543</v>
      </c>
    </row>
    <row r="29">
      <c r="A29" s="89" t="inlineStr">
        <is>
          <t>Male</t>
        </is>
      </c>
      <c r="B29" s="89" t="inlineStr">
        <is>
          <t>All sentence types</t>
        </is>
      </c>
      <c r="C29" s="89" t="inlineStr">
        <is>
          <t>Community rehabilitation companies</t>
        </is>
      </c>
      <c r="D29" s="90" t="n">
        <v>4</v>
      </c>
      <c r="E29" s="90" t="n">
        <v>0</v>
      </c>
      <c r="F29" s="90" t="n">
        <v>0</v>
      </c>
      <c r="G29" s="90" t="n">
        <v>0</v>
      </c>
      <c r="H29" s="90" t="n">
        <v>0</v>
      </c>
    </row>
    <row r="30" ht="24.9" customHeight="1">
      <c r="A30" s="89" t="inlineStr">
        <is>
          <t>Male</t>
        </is>
      </c>
      <c r="B30" s="89" t="inlineStr">
        <is>
          <t>Determinate less than 12 months</t>
        </is>
      </c>
      <c r="C30" s="89" t="inlineStr">
        <is>
          <t>All supervising bodies</t>
        </is>
      </c>
      <c r="D30" s="90" t="n">
        <v>512</v>
      </c>
      <c r="E30" s="90" t="n">
        <v>510</v>
      </c>
      <c r="F30" s="90" t="n">
        <v>541</v>
      </c>
      <c r="G30" s="90" t="n">
        <v>551</v>
      </c>
      <c r="H30" s="90" t="n">
        <v>575</v>
      </c>
    </row>
    <row r="31">
      <c r="A31" s="89" t="inlineStr">
        <is>
          <t>Male</t>
        </is>
      </c>
      <c r="B31" s="89" t="inlineStr">
        <is>
          <t>Determinate less than 12 months</t>
        </is>
      </c>
      <c r="C31" s="89" t="inlineStr">
        <is>
          <t>National probation</t>
        </is>
      </c>
      <c r="D31" s="90" t="n">
        <v>509</v>
      </c>
      <c r="E31" s="90" t="n">
        <v>510</v>
      </c>
      <c r="F31" s="90" t="n">
        <v>541</v>
      </c>
      <c r="G31" s="90" t="n">
        <v>551</v>
      </c>
      <c r="H31" s="90" t="n">
        <v>575</v>
      </c>
    </row>
    <row r="32">
      <c r="A32" s="89" t="inlineStr">
        <is>
          <t>Male</t>
        </is>
      </c>
      <c r="B32" s="89" t="inlineStr">
        <is>
          <t>Determinate less than 12 months</t>
        </is>
      </c>
      <c r="C32" s="89" t="inlineStr">
        <is>
          <t>Probation trust</t>
        </is>
      </c>
      <c r="D32" s="90" t="n">
        <v>0</v>
      </c>
      <c r="E32" s="90" t="n">
        <v>0</v>
      </c>
      <c r="F32" s="90" t="n">
        <v>0</v>
      </c>
      <c r="G32" s="90" t="n">
        <v>0</v>
      </c>
      <c r="H32" s="90" t="n">
        <v>0</v>
      </c>
    </row>
    <row r="33">
      <c r="A33" s="89" t="inlineStr">
        <is>
          <t>Male</t>
        </is>
      </c>
      <c r="B33" s="89" t="inlineStr">
        <is>
          <t>Determinate less than 12 months</t>
        </is>
      </c>
      <c r="C33" s="89" t="inlineStr">
        <is>
          <t>Community rehabilitation companies</t>
        </is>
      </c>
      <c r="D33" s="90" t="n">
        <v>3</v>
      </c>
      <c r="E33" s="90" t="n">
        <v>0</v>
      </c>
      <c r="F33" s="90" t="n">
        <v>0</v>
      </c>
      <c r="G33" s="90" t="n">
        <v>0</v>
      </c>
      <c r="H33" s="90" t="n">
        <v>0</v>
      </c>
    </row>
    <row r="34" ht="24.9" customHeight="1">
      <c r="A34" s="89" t="inlineStr">
        <is>
          <t>Male</t>
        </is>
      </c>
      <c r="B34" s="89" t="inlineStr">
        <is>
          <t>Determinate 12 months or more</t>
        </is>
      </c>
      <c r="C34" s="89" t="inlineStr">
        <is>
          <t>All supervising bodies</t>
        </is>
      </c>
      <c r="D34" s="90" t="n">
        <v>1551</v>
      </c>
      <c r="E34" s="90" t="n">
        <v>1587</v>
      </c>
      <c r="F34" s="90" t="n">
        <v>1605</v>
      </c>
      <c r="G34" s="90" t="n">
        <v>1630</v>
      </c>
      <c r="H34" s="90" t="n">
        <v>1694</v>
      </c>
    </row>
    <row r="35">
      <c r="A35" s="89" t="inlineStr">
        <is>
          <t>Male</t>
        </is>
      </c>
      <c r="B35" s="89" t="inlineStr">
        <is>
          <t>Determinate 12 months or more</t>
        </is>
      </c>
      <c r="C35" s="89" t="inlineStr">
        <is>
          <t>National probation</t>
        </is>
      </c>
      <c r="D35" s="90" t="n">
        <v>1005</v>
      </c>
      <c r="E35" s="90" t="n">
        <v>1045</v>
      </c>
      <c r="F35" s="90" t="n">
        <v>1067</v>
      </c>
      <c r="G35" s="90" t="n">
        <v>1097</v>
      </c>
      <c r="H35" s="90" t="n">
        <v>1164</v>
      </c>
    </row>
    <row r="36">
      <c r="A36" s="89" t="inlineStr">
        <is>
          <t>Male</t>
        </is>
      </c>
      <c r="B36" s="89" t="inlineStr">
        <is>
          <t>Determinate 12 months or more</t>
        </is>
      </c>
      <c r="C36" s="89" t="inlineStr">
        <is>
          <t>Probation trust</t>
        </is>
      </c>
      <c r="D36" s="90" t="n">
        <v>545</v>
      </c>
      <c r="E36" s="90" t="n">
        <v>542</v>
      </c>
      <c r="F36" s="90" t="n">
        <v>538</v>
      </c>
      <c r="G36" s="90" t="n">
        <v>533</v>
      </c>
      <c r="H36" s="90" t="n">
        <v>530</v>
      </c>
    </row>
    <row r="37">
      <c r="A37" s="89" t="inlineStr">
        <is>
          <t>Male</t>
        </is>
      </c>
      <c r="B37" s="89" t="inlineStr">
        <is>
          <t>Determinate 12 months or more</t>
        </is>
      </c>
      <c r="C37" s="89" t="inlineStr">
        <is>
          <t>Community rehabilitation companies</t>
        </is>
      </c>
      <c r="D37" s="90" t="n">
        <v>1</v>
      </c>
      <c r="E37" s="90" t="n">
        <v>0</v>
      </c>
      <c r="F37" s="90" t="n">
        <v>0</v>
      </c>
      <c r="G37" s="90" t="n">
        <v>0</v>
      </c>
      <c r="H37" s="90" t="n">
        <v>0</v>
      </c>
    </row>
    <row r="38" ht="24.9" customHeight="1">
      <c r="A38" s="89" t="inlineStr">
        <is>
          <t>Male</t>
        </is>
      </c>
      <c r="B38" s="89" t="inlineStr">
        <is>
          <t>IPP</t>
        </is>
      </c>
      <c r="C38" s="89" t="inlineStr">
        <is>
          <t>All supervising bodies</t>
        </is>
      </c>
      <c r="D38" s="90" t="n">
        <v>41</v>
      </c>
      <c r="E38" s="90" t="n">
        <v>47</v>
      </c>
      <c r="F38" s="90" t="n">
        <v>42</v>
      </c>
      <c r="G38" s="90" t="n">
        <v>47</v>
      </c>
      <c r="H38" s="90" t="n">
        <v>51</v>
      </c>
    </row>
    <row r="39">
      <c r="A39" s="89" t="inlineStr">
        <is>
          <t>Male</t>
        </is>
      </c>
      <c r="B39" s="89" t="inlineStr">
        <is>
          <t>IPP</t>
        </is>
      </c>
      <c r="C39" s="89" t="inlineStr">
        <is>
          <t>National probation</t>
        </is>
      </c>
      <c r="D39" s="90" t="n">
        <v>40</v>
      </c>
      <c r="E39" s="90" t="n">
        <v>46</v>
      </c>
      <c r="F39" s="90" t="n">
        <v>41</v>
      </c>
      <c r="G39" s="90" t="n">
        <v>46</v>
      </c>
      <c r="H39" s="90" t="n">
        <v>50</v>
      </c>
    </row>
    <row r="40">
      <c r="A40" s="89" t="inlineStr">
        <is>
          <t>Male</t>
        </is>
      </c>
      <c r="B40" s="89" t="inlineStr">
        <is>
          <t>IPP</t>
        </is>
      </c>
      <c r="C40" s="89" t="inlineStr">
        <is>
          <t>Probation trust</t>
        </is>
      </c>
      <c r="D40" s="90" t="n">
        <v>1</v>
      </c>
      <c r="E40" s="90" t="n">
        <v>1</v>
      </c>
      <c r="F40" s="90" t="n">
        <v>1</v>
      </c>
      <c r="G40" s="90" t="n">
        <v>1</v>
      </c>
      <c r="H40" s="90" t="n">
        <v>1</v>
      </c>
    </row>
    <row r="41">
      <c r="A41" s="89" t="inlineStr">
        <is>
          <t>Male</t>
        </is>
      </c>
      <c r="B41" s="89" t="inlineStr">
        <is>
          <t>IPP</t>
        </is>
      </c>
      <c r="C41" s="89" t="inlineStr">
        <is>
          <t>Community rehabilitation companies</t>
        </is>
      </c>
      <c r="D41" s="90" t="n">
        <v>0</v>
      </c>
      <c r="E41" s="90" t="n">
        <v>0</v>
      </c>
      <c r="F41" s="90" t="n">
        <v>0</v>
      </c>
      <c r="G41" s="90" t="n">
        <v>0</v>
      </c>
      <c r="H41" s="90" t="n">
        <v>0</v>
      </c>
    </row>
    <row r="42" ht="24.9" customHeight="1">
      <c r="A42" s="89" t="inlineStr">
        <is>
          <t>Male</t>
        </is>
      </c>
      <c r="B42" s="89" t="inlineStr">
        <is>
          <t>Life sentence</t>
        </is>
      </c>
      <c r="C42" s="89" t="inlineStr">
        <is>
          <t>All supervising bodies</t>
        </is>
      </c>
      <c r="D42" s="90" t="n">
        <v>38</v>
      </c>
      <c r="E42" s="90" t="n">
        <v>38</v>
      </c>
      <c r="F42" s="90" t="n">
        <v>38</v>
      </c>
      <c r="G42" s="90" t="n">
        <v>37</v>
      </c>
      <c r="H42" s="90" t="n">
        <v>34</v>
      </c>
    </row>
    <row r="43">
      <c r="A43" s="89" t="inlineStr">
        <is>
          <t>Male</t>
        </is>
      </c>
      <c r="B43" s="89" t="inlineStr">
        <is>
          <t>Life sentence</t>
        </is>
      </c>
      <c r="C43" s="89" t="inlineStr">
        <is>
          <t>National probation</t>
        </is>
      </c>
      <c r="D43" s="90" t="n">
        <v>26</v>
      </c>
      <c r="E43" s="90" t="n">
        <v>26</v>
      </c>
      <c r="F43" s="90" t="n">
        <v>26</v>
      </c>
      <c r="G43" s="90" t="n">
        <v>25</v>
      </c>
      <c r="H43" s="90" t="n">
        <v>22</v>
      </c>
    </row>
    <row r="44">
      <c r="A44" s="89" t="inlineStr">
        <is>
          <t>Male</t>
        </is>
      </c>
      <c r="B44" s="89" t="inlineStr">
        <is>
          <t>Life sentence</t>
        </is>
      </c>
      <c r="C44" s="89" t="inlineStr">
        <is>
          <t>Probation trust</t>
        </is>
      </c>
      <c r="D44" s="90" t="n">
        <v>12</v>
      </c>
      <c r="E44" s="90" t="n">
        <v>12</v>
      </c>
      <c r="F44" s="90" t="n">
        <v>12</v>
      </c>
      <c r="G44" s="90" t="n">
        <v>12</v>
      </c>
      <c r="H44" s="90" t="n">
        <v>12</v>
      </c>
    </row>
    <row r="45">
      <c r="A45" s="89" t="inlineStr">
        <is>
          <t>Male</t>
        </is>
      </c>
      <c r="B45" s="89" t="inlineStr">
        <is>
          <t>Life sentence</t>
        </is>
      </c>
      <c r="C45" s="89" t="inlineStr">
        <is>
          <t>Community rehabilitation companies</t>
        </is>
      </c>
      <c r="D45" s="90" t="n">
        <v>0</v>
      </c>
      <c r="E45" s="90" t="n">
        <v>0</v>
      </c>
      <c r="F45" s="90" t="n">
        <v>0</v>
      </c>
      <c r="G45" s="90" t="n">
        <v>0</v>
      </c>
      <c r="H45" s="90" t="n">
        <v>0</v>
      </c>
    </row>
    <row r="46" ht="24.9" customHeight="1">
      <c r="A46" s="89" t="inlineStr">
        <is>
          <t>Female</t>
        </is>
      </c>
      <c r="B46" s="89" t="inlineStr">
        <is>
          <t>All sentence types</t>
        </is>
      </c>
      <c r="C46" s="89" t="inlineStr">
        <is>
          <t>All supervising bodies</t>
        </is>
      </c>
      <c r="D46" s="90" t="n">
        <v>142</v>
      </c>
      <c r="E46" s="90" t="n">
        <v>135</v>
      </c>
      <c r="F46" s="90" t="n">
        <v>150</v>
      </c>
      <c r="G46" s="90" t="n">
        <v>151</v>
      </c>
      <c r="H46" s="90" t="n">
        <v>153</v>
      </c>
    </row>
    <row r="47">
      <c r="A47" s="89" t="inlineStr">
        <is>
          <t>Female</t>
        </is>
      </c>
      <c r="B47" s="89" t="inlineStr">
        <is>
          <t>All sentence types</t>
        </is>
      </c>
      <c r="C47" s="89" t="inlineStr">
        <is>
          <t>National probation</t>
        </is>
      </c>
      <c r="D47" s="90" t="n">
        <v>94</v>
      </c>
      <c r="E47" s="90" t="n">
        <v>88</v>
      </c>
      <c r="F47" s="90" t="n">
        <v>103</v>
      </c>
      <c r="G47" s="90" t="n">
        <v>105</v>
      </c>
      <c r="H47" s="90" t="n">
        <v>107</v>
      </c>
    </row>
    <row r="48">
      <c r="A48" s="89" t="inlineStr">
        <is>
          <t>Female</t>
        </is>
      </c>
      <c r="B48" s="89" t="inlineStr">
        <is>
          <t>All sentence types</t>
        </is>
      </c>
      <c r="C48" s="89" t="inlineStr">
        <is>
          <t>Probation trust</t>
        </is>
      </c>
      <c r="D48" s="90" t="n">
        <v>48</v>
      </c>
      <c r="E48" s="90" t="n">
        <v>47</v>
      </c>
      <c r="F48" s="90" t="n">
        <v>47</v>
      </c>
      <c r="G48" s="90" t="n">
        <v>46</v>
      </c>
      <c r="H48" s="90" t="n">
        <v>46</v>
      </c>
    </row>
    <row r="49">
      <c r="A49" s="89" t="inlineStr">
        <is>
          <t>Female</t>
        </is>
      </c>
      <c r="B49" s="89" t="inlineStr">
        <is>
          <t>All sentence types</t>
        </is>
      </c>
      <c r="C49" s="89" t="inlineStr">
        <is>
          <t>Community rehabilitation companies</t>
        </is>
      </c>
      <c r="D49" s="90" t="n">
        <v>0</v>
      </c>
      <c r="E49" s="90" t="n">
        <v>0</v>
      </c>
      <c r="F49" s="90" t="n">
        <v>0</v>
      </c>
      <c r="G49" s="90" t="n">
        <v>0</v>
      </c>
      <c r="H49" s="90" t="n">
        <v>0</v>
      </c>
    </row>
    <row r="50" ht="24.9" customHeight="1">
      <c r="A50" s="89" t="inlineStr">
        <is>
          <t>Female</t>
        </is>
      </c>
      <c r="B50" s="89" t="inlineStr">
        <is>
          <t>Determinate less than 12 months</t>
        </is>
      </c>
      <c r="C50" s="89" t="inlineStr">
        <is>
          <t>All supervising bodies</t>
        </is>
      </c>
      <c r="D50" s="90" t="n">
        <v>49</v>
      </c>
      <c r="E50" s="90" t="n">
        <v>47</v>
      </c>
      <c r="F50" s="90" t="n">
        <v>58</v>
      </c>
      <c r="G50" s="90" t="n">
        <v>62</v>
      </c>
      <c r="H50" s="90" t="n">
        <v>53</v>
      </c>
    </row>
    <row r="51">
      <c r="A51" s="89" t="inlineStr">
        <is>
          <t>Female</t>
        </is>
      </c>
      <c r="B51" s="89" t="inlineStr">
        <is>
          <t>Determinate less than 12 months</t>
        </is>
      </c>
      <c r="C51" s="89" t="inlineStr">
        <is>
          <t>National probation</t>
        </is>
      </c>
      <c r="D51" s="90" t="n">
        <v>49</v>
      </c>
      <c r="E51" s="90" t="n">
        <v>47</v>
      </c>
      <c r="F51" s="90" t="n">
        <v>58</v>
      </c>
      <c r="G51" s="90" t="n">
        <v>62</v>
      </c>
      <c r="H51" s="90" t="n">
        <v>53</v>
      </c>
    </row>
    <row r="52">
      <c r="A52" s="89" t="inlineStr">
        <is>
          <t>Female</t>
        </is>
      </c>
      <c r="B52" s="89" t="inlineStr">
        <is>
          <t>Determinate less than 12 months</t>
        </is>
      </c>
      <c r="C52" s="89" t="inlineStr">
        <is>
          <t>Probation trust</t>
        </is>
      </c>
      <c r="D52" s="90" t="n">
        <v>0</v>
      </c>
      <c r="E52" s="90" t="n">
        <v>0</v>
      </c>
      <c r="F52" s="90" t="n">
        <v>0</v>
      </c>
      <c r="G52" s="90" t="n">
        <v>0</v>
      </c>
      <c r="H52" s="90" t="n">
        <v>0</v>
      </c>
    </row>
    <row r="53">
      <c r="A53" s="89" t="inlineStr">
        <is>
          <t>Female</t>
        </is>
      </c>
      <c r="B53" s="89" t="inlineStr">
        <is>
          <t>Determinate less than 12 months</t>
        </is>
      </c>
      <c r="C53" s="89" t="inlineStr">
        <is>
          <t>Community rehabilitation companies</t>
        </is>
      </c>
      <c r="D53" s="90" t="n">
        <v>0</v>
      </c>
      <c r="E53" s="90" t="n">
        <v>0</v>
      </c>
      <c r="F53" s="90" t="n">
        <v>0</v>
      </c>
      <c r="G53" s="90" t="n">
        <v>0</v>
      </c>
      <c r="H53" s="90" t="n">
        <v>0</v>
      </c>
    </row>
    <row r="54" ht="24.9" customHeight="1">
      <c r="A54" s="89" t="inlineStr">
        <is>
          <t>Female</t>
        </is>
      </c>
      <c r="B54" s="89" t="inlineStr">
        <is>
          <t>Determinate 12 months or more</t>
        </is>
      </c>
      <c r="C54" s="89" t="inlineStr">
        <is>
          <t>All supervising bodies</t>
        </is>
      </c>
      <c r="D54" s="90" t="n">
        <v>92</v>
      </c>
      <c r="E54" s="90" t="n">
        <v>88</v>
      </c>
      <c r="F54" s="90" t="n">
        <v>92</v>
      </c>
      <c r="G54" s="90" t="n">
        <v>89</v>
      </c>
      <c r="H54" s="90" t="n">
        <v>100</v>
      </c>
    </row>
    <row r="55">
      <c r="A55" s="89" t="inlineStr">
        <is>
          <t>Female</t>
        </is>
      </c>
      <c r="B55" s="89" t="inlineStr">
        <is>
          <t>Determinate 12 months or more</t>
        </is>
      </c>
      <c r="C55" s="89" t="inlineStr">
        <is>
          <t>National probation</t>
        </is>
      </c>
      <c r="D55" s="90" t="n">
        <v>44</v>
      </c>
      <c r="E55" s="90" t="n">
        <v>41</v>
      </c>
      <c r="F55" s="90" t="n">
        <v>45</v>
      </c>
      <c r="G55" s="90" t="n">
        <v>43</v>
      </c>
      <c r="H55" s="90" t="n">
        <v>54</v>
      </c>
    </row>
    <row r="56">
      <c r="A56" s="89" t="inlineStr">
        <is>
          <t>Female</t>
        </is>
      </c>
      <c r="B56" s="89" t="inlineStr">
        <is>
          <t>Determinate 12 months or more</t>
        </is>
      </c>
      <c r="C56" s="89" t="inlineStr">
        <is>
          <t>Probation trust</t>
        </is>
      </c>
      <c r="D56" s="90" t="n">
        <v>48</v>
      </c>
      <c r="E56" s="90" t="n">
        <v>47</v>
      </c>
      <c r="F56" s="90" t="n">
        <v>47</v>
      </c>
      <c r="G56" s="90" t="n">
        <v>46</v>
      </c>
      <c r="H56" s="90" t="n">
        <v>46</v>
      </c>
    </row>
    <row r="57">
      <c r="A57" s="89" t="inlineStr">
        <is>
          <t>Female</t>
        </is>
      </c>
      <c r="B57" s="89" t="inlineStr">
        <is>
          <t>Determinate 12 months or more</t>
        </is>
      </c>
      <c r="C57" s="89" t="inlineStr">
        <is>
          <t>Community rehabilitation companies</t>
        </is>
      </c>
      <c r="D57" s="90" t="n">
        <v>0</v>
      </c>
      <c r="E57" s="90" t="n">
        <v>0</v>
      </c>
      <c r="F57" s="90" t="n">
        <v>0</v>
      </c>
      <c r="G57" s="90" t="n">
        <v>0</v>
      </c>
      <c r="H57" s="90" t="n">
        <v>0</v>
      </c>
    </row>
    <row r="58" ht="24.9" customHeight="1">
      <c r="A58" s="89" t="inlineStr">
        <is>
          <t>Female</t>
        </is>
      </c>
      <c r="B58" s="89" t="inlineStr">
        <is>
          <t>IPP</t>
        </is>
      </c>
      <c r="C58" s="89" t="inlineStr">
        <is>
          <t>All supervising bodies</t>
        </is>
      </c>
      <c r="D58" s="90" t="n">
        <v>1</v>
      </c>
      <c r="E58" s="90" t="n">
        <v>0</v>
      </c>
      <c r="F58" s="90" t="n">
        <v>0</v>
      </c>
      <c r="G58" s="90" t="n">
        <v>0</v>
      </c>
      <c r="H58" s="90" t="n">
        <v>0</v>
      </c>
    </row>
    <row r="59">
      <c r="A59" s="89" t="inlineStr">
        <is>
          <t>Female</t>
        </is>
      </c>
      <c r="B59" s="89" t="inlineStr">
        <is>
          <t>IPP</t>
        </is>
      </c>
      <c r="C59" s="89" t="inlineStr">
        <is>
          <t>National probation</t>
        </is>
      </c>
      <c r="D59" s="90" t="n">
        <v>1</v>
      </c>
      <c r="E59" s="90" t="n">
        <v>0</v>
      </c>
      <c r="F59" s="90" t="n">
        <v>0</v>
      </c>
      <c r="G59" s="90" t="n">
        <v>0</v>
      </c>
      <c r="H59" s="90" t="n">
        <v>0</v>
      </c>
    </row>
    <row r="60">
      <c r="A60" s="89" t="inlineStr">
        <is>
          <t>Female</t>
        </is>
      </c>
      <c r="B60" s="89" t="inlineStr">
        <is>
          <t>IPP</t>
        </is>
      </c>
      <c r="C60" s="89" t="inlineStr">
        <is>
          <t>Probation trust</t>
        </is>
      </c>
      <c r="D60" s="90" t="n">
        <v>0</v>
      </c>
      <c r="E60" s="90" t="n">
        <v>0</v>
      </c>
      <c r="F60" s="90" t="n">
        <v>0</v>
      </c>
      <c r="G60" s="90" t="n">
        <v>0</v>
      </c>
      <c r="H60" s="90" t="n">
        <v>0</v>
      </c>
    </row>
    <row r="61">
      <c r="A61" s="89" t="inlineStr">
        <is>
          <t>Female</t>
        </is>
      </c>
      <c r="B61" s="89" t="inlineStr">
        <is>
          <t>IPP</t>
        </is>
      </c>
      <c r="C61" s="89" t="inlineStr">
        <is>
          <t>Community rehabilitation companies</t>
        </is>
      </c>
      <c r="D61" s="90" t="n">
        <v>0</v>
      </c>
      <c r="E61" s="90" t="n">
        <v>0</v>
      </c>
      <c r="F61" s="90" t="n">
        <v>0</v>
      </c>
      <c r="G61" s="90" t="n">
        <v>0</v>
      </c>
      <c r="H61" s="90" t="n">
        <v>0</v>
      </c>
    </row>
    <row r="62" ht="24.9" customHeight="1">
      <c r="A62" s="89" t="inlineStr">
        <is>
          <t>Female</t>
        </is>
      </c>
      <c r="B62" s="89" t="inlineStr">
        <is>
          <t>Life sentence</t>
        </is>
      </c>
      <c r="C62" s="89" t="inlineStr">
        <is>
          <t>All supervising bodies</t>
        </is>
      </c>
      <c r="D62" s="90" t="n">
        <v>0</v>
      </c>
      <c r="E62" s="90" t="n">
        <v>0</v>
      </c>
      <c r="F62" s="90" t="n">
        <v>0</v>
      </c>
      <c r="G62" s="90" t="n">
        <v>0</v>
      </c>
      <c r="H62" s="90" t="n">
        <v>0</v>
      </c>
    </row>
    <row r="63">
      <c r="A63" s="89" t="inlineStr">
        <is>
          <t>Female</t>
        </is>
      </c>
      <c r="B63" s="89" t="inlineStr">
        <is>
          <t>Life sentence</t>
        </is>
      </c>
      <c r="C63" s="89" t="inlineStr">
        <is>
          <t>National probation</t>
        </is>
      </c>
      <c r="D63" s="90" t="n">
        <v>0</v>
      </c>
      <c r="E63" s="90" t="n">
        <v>0</v>
      </c>
      <c r="F63" s="90" t="n">
        <v>0</v>
      </c>
      <c r="G63" s="90" t="n">
        <v>0</v>
      </c>
      <c r="H63" s="90" t="n">
        <v>0</v>
      </c>
    </row>
    <row r="64">
      <c r="A64" s="89" t="inlineStr">
        <is>
          <t>Female</t>
        </is>
      </c>
      <c r="B64" s="89" t="inlineStr">
        <is>
          <t>Life sentence</t>
        </is>
      </c>
      <c r="C64" s="89" t="inlineStr">
        <is>
          <t>Probation trust</t>
        </is>
      </c>
      <c r="D64" s="90" t="n">
        <v>0</v>
      </c>
      <c r="E64" s="90" t="n">
        <v>0</v>
      </c>
      <c r="F64" s="90" t="n">
        <v>0</v>
      </c>
      <c r="G64" s="90" t="n">
        <v>0</v>
      </c>
      <c r="H64" s="90" t="n">
        <v>0</v>
      </c>
    </row>
    <row r="65">
      <c r="A65" s="89" t="inlineStr">
        <is>
          <t>Female</t>
        </is>
      </c>
      <c r="B65" s="89" t="inlineStr">
        <is>
          <t>Life sentence</t>
        </is>
      </c>
      <c r="C65" s="89" t="inlineStr">
        <is>
          <t>Community rehabilitation companies</t>
        </is>
      </c>
      <c r="D65" s="90" t="n">
        <v>0</v>
      </c>
      <c r="E65" s="90" t="n">
        <v>0</v>
      </c>
      <c r="F65" s="90" t="n">
        <v>0</v>
      </c>
      <c r="G65" s="90" t="n">
        <v>0</v>
      </c>
      <c r="H65" s="90" t="n">
        <v>0</v>
      </c>
    </row>
  </sheetData>
  <hyperlinks>
    <hyperlink xmlns:r="http://schemas.openxmlformats.org/officeDocument/2006/relationships" ref="A3"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9" customWidth="1" min="1" max="1"/>
    <col width="48" customWidth="1" min="2" max="2"/>
    <col width="44" customWidth="1" min="3" max="3"/>
    <col width="44" customWidth="1" min="4" max="4"/>
    <col width="44" customWidth="1" min="5" max="5"/>
    <col width="44" customWidth="1" min="6" max="6"/>
    <col width="44" customWidth="1" min="7" max="7"/>
  </cols>
  <sheetData>
    <row r="1">
      <c r="A1" s="64" t="inlineStr">
        <is>
          <t>Table 8: Time series: number of offenders not returned to custody after licence recall, by supervising body and length of time since recall, England and Wales [note 2]</t>
        </is>
      </c>
    </row>
    <row r="2">
      <c r="A2" s="65" t="inlineStr">
        <is>
          <t>This worksheet contains one table.</t>
        </is>
      </c>
    </row>
    <row r="3">
      <c r="A3" s="66" t="inlineStr">
        <is>
          <t>Link to Contents tab</t>
        </is>
      </c>
    </row>
    <row r="4">
      <c r="A4" s="65" t="inlineStr">
        <is>
          <t>Source: Public Protection Unit Database (PPUD)</t>
        </is>
      </c>
    </row>
    <row r="5" ht="46.8" customHeight="1">
      <c r="A5" s="91" t="inlineStr">
        <is>
          <t>Supervising body</t>
        </is>
      </c>
      <c r="B5" s="91" t="inlineStr">
        <is>
          <t>Time since recall</t>
        </is>
      </c>
      <c r="C5" s="92" t="inlineStr">
        <is>
          <t>Recalled between 1984 and 31 Mar 2023 not returned by 30 Jun 2023</t>
        </is>
      </c>
      <c r="D5" s="92" t="inlineStr">
        <is>
          <t>Recalled between 1984 and 30 Jun 2023 not returned by 30 Sep 2023</t>
        </is>
      </c>
      <c r="E5" s="92" t="inlineStr">
        <is>
          <t>Recalled between 1984 and 30 Sep 2023 not returned by 31 Dec 2023</t>
        </is>
      </c>
      <c r="F5" s="92" t="inlineStr">
        <is>
          <t>Recalled between 1984 and 31 Dec 2023 not returned by 31 Mar 2024</t>
        </is>
      </c>
      <c r="G5" s="92" t="inlineStr">
        <is>
          <t>Recalled between 1984 and 31 Mar 2024 not returned by 30 Jun 2024</t>
        </is>
      </c>
    </row>
    <row r="6" ht="24.9" customHeight="1">
      <c r="A6" s="93" t="inlineStr">
        <is>
          <t>All supervising bodies</t>
        </is>
      </c>
      <c r="B6" s="93" t="inlineStr">
        <is>
          <t>All not returned</t>
        </is>
      </c>
      <c r="C6" s="94" t="n">
        <v>2284</v>
      </c>
      <c r="D6" s="94" t="n">
        <v>2317</v>
      </c>
      <c r="E6" s="94" t="n">
        <v>2376</v>
      </c>
      <c r="F6" s="94" t="n">
        <v>2416</v>
      </c>
      <c r="G6" s="94" t="n">
        <v>2507</v>
      </c>
    </row>
    <row r="7">
      <c r="A7" s="93" t="inlineStr">
        <is>
          <t>All supervising bodies</t>
        </is>
      </c>
      <c r="B7" s="93" t="inlineStr">
        <is>
          <t>Up to and including 6 months</t>
        </is>
      </c>
      <c r="C7" s="94" t="n">
        <v>275</v>
      </c>
      <c r="D7" s="94" t="n">
        <v>262</v>
      </c>
      <c r="E7" s="94" t="n">
        <v>284</v>
      </c>
      <c r="F7" s="94" t="n">
        <v>282</v>
      </c>
      <c r="G7" s="94" t="n">
        <v>314</v>
      </c>
    </row>
    <row r="8">
      <c r="A8" s="93" t="inlineStr">
        <is>
          <t>All supervising bodies</t>
        </is>
      </c>
      <c r="B8" s="93" t="inlineStr">
        <is>
          <t>From 6 months up to and including 12 months</t>
        </is>
      </c>
      <c r="C8" s="94" t="n">
        <v>262</v>
      </c>
      <c r="D8" s="94" t="n">
        <v>279</v>
      </c>
      <c r="E8" s="94" t="n">
        <v>283</v>
      </c>
      <c r="F8" s="94" t="n">
        <v>282</v>
      </c>
      <c r="G8" s="94" t="n">
        <v>295</v>
      </c>
    </row>
    <row r="9">
      <c r="A9" s="93" t="inlineStr">
        <is>
          <t>All supervising bodies</t>
        </is>
      </c>
      <c r="B9" s="93" t="inlineStr">
        <is>
          <t>From 12 months up to and including 2 years</t>
        </is>
      </c>
      <c r="C9" s="94" t="n">
        <v>269</v>
      </c>
      <c r="D9" s="94" t="n">
        <v>281</v>
      </c>
      <c r="E9" s="94" t="n">
        <v>288</v>
      </c>
      <c r="F9" s="94" t="n">
        <v>314</v>
      </c>
      <c r="G9" s="94" t="n">
        <v>333</v>
      </c>
    </row>
    <row r="10">
      <c r="A10" s="93" t="inlineStr">
        <is>
          <t>All supervising bodies</t>
        </is>
      </c>
      <c r="B10" s="93" t="inlineStr">
        <is>
          <t>From 2 years up to and including 5 years</t>
        </is>
      </c>
      <c r="C10" s="94" t="n">
        <v>489</v>
      </c>
      <c r="D10" s="94" t="n">
        <v>488</v>
      </c>
      <c r="E10" s="94" t="n">
        <v>488</v>
      </c>
      <c r="F10" s="94" t="n">
        <v>492</v>
      </c>
      <c r="G10" s="94" t="n">
        <v>502</v>
      </c>
    </row>
    <row r="11">
      <c r="A11" s="93" t="inlineStr">
        <is>
          <t>All supervising bodies</t>
        </is>
      </c>
      <c r="B11" s="93" t="inlineStr">
        <is>
          <t>More than 5 years</t>
        </is>
      </c>
      <c r="C11" s="94" t="n">
        <v>989</v>
      </c>
      <c r="D11" s="94" t="n">
        <v>1007</v>
      </c>
      <c r="E11" s="94" t="n">
        <v>1033</v>
      </c>
      <c r="F11" s="94" t="n">
        <v>1046</v>
      </c>
      <c r="G11" s="94" t="n">
        <v>1063</v>
      </c>
    </row>
    <row r="12" ht="24.9" customHeight="1">
      <c r="A12" s="93" t="inlineStr">
        <is>
          <t>National probation</t>
        </is>
      </c>
      <c r="B12" s="93" t="inlineStr">
        <is>
          <t>All not returned</t>
        </is>
      </c>
      <c r="C12" s="94" t="n">
        <v>1674</v>
      </c>
      <c r="D12" s="94" t="n">
        <v>1715</v>
      </c>
      <c r="E12" s="94" t="n">
        <v>1778</v>
      </c>
      <c r="F12" s="94" t="n">
        <v>1824</v>
      </c>
      <c r="G12" s="94" t="n">
        <v>1918</v>
      </c>
    </row>
    <row r="13">
      <c r="A13" s="93" t="inlineStr">
        <is>
          <t>National probation</t>
        </is>
      </c>
      <c r="B13" s="93" t="inlineStr">
        <is>
          <t>Up to and including 6 months</t>
        </is>
      </c>
      <c r="C13" s="94" t="n">
        <v>275</v>
      </c>
      <c r="D13" s="94" t="n">
        <v>262</v>
      </c>
      <c r="E13" s="94" t="n">
        <v>284</v>
      </c>
      <c r="F13" s="94" t="n">
        <v>282</v>
      </c>
      <c r="G13" s="94" t="n">
        <v>314</v>
      </c>
    </row>
    <row r="14">
      <c r="A14" s="93" t="inlineStr">
        <is>
          <t>National probation</t>
        </is>
      </c>
      <c r="B14" s="93" t="inlineStr">
        <is>
          <t>From 6 months up to and including 12 months</t>
        </is>
      </c>
      <c r="C14" s="94" t="n">
        <v>262</v>
      </c>
      <c r="D14" s="94" t="n">
        <v>279</v>
      </c>
      <c r="E14" s="94" t="n">
        <v>283</v>
      </c>
      <c r="F14" s="94" t="n">
        <v>282</v>
      </c>
      <c r="G14" s="94" t="n">
        <v>295</v>
      </c>
    </row>
    <row r="15">
      <c r="A15" s="93" t="inlineStr">
        <is>
          <t>National probation</t>
        </is>
      </c>
      <c r="B15" s="93" t="inlineStr">
        <is>
          <t>From 12 months up to and including 2 years</t>
        </is>
      </c>
      <c r="C15" s="94" t="n">
        <v>269</v>
      </c>
      <c r="D15" s="94" t="n">
        <v>281</v>
      </c>
      <c r="E15" s="94" t="n">
        <v>288</v>
      </c>
      <c r="F15" s="94" t="n">
        <v>314</v>
      </c>
      <c r="G15" s="94" t="n">
        <v>333</v>
      </c>
    </row>
    <row r="16">
      <c r="A16" s="93" t="inlineStr">
        <is>
          <t>National probation</t>
        </is>
      </c>
      <c r="B16" s="93" t="inlineStr">
        <is>
          <t>From 2 years up to and including 5 years</t>
        </is>
      </c>
      <c r="C16" s="94" t="n">
        <v>487</v>
      </c>
      <c r="D16" s="94" t="n">
        <v>488</v>
      </c>
      <c r="E16" s="94" t="n">
        <v>488</v>
      </c>
      <c r="F16" s="94" t="n">
        <v>492</v>
      </c>
      <c r="G16" s="94" t="n">
        <v>502</v>
      </c>
    </row>
    <row r="17">
      <c r="A17" s="93" t="inlineStr">
        <is>
          <t>National probation</t>
        </is>
      </c>
      <c r="B17" s="93" t="inlineStr">
        <is>
          <t>More than 5 years</t>
        </is>
      </c>
      <c r="C17" s="94" t="n">
        <v>381</v>
      </c>
      <c r="D17" s="94" t="n">
        <v>405</v>
      </c>
      <c r="E17" s="94" t="n">
        <v>435</v>
      </c>
      <c r="F17" s="94" t="n">
        <v>454</v>
      </c>
      <c r="G17" s="94" t="n">
        <v>474</v>
      </c>
    </row>
    <row r="18" ht="24.9" customHeight="1">
      <c r="A18" s="93" t="inlineStr">
        <is>
          <t>Probation trust</t>
        </is>
      </c>
      <c r="B18" s="93" t="inlineStr">
        <is>
          <t>All not returned</t>
        </is>
      </c>
      <c r="C18" s="94" t="n">
        <v>606</v>
      </c>
      <c r="D18" s="94" t="n">
        <v>602</v>
      </c>
      <c r="E18" s="94" t="n">
        <v>598</v>
      </c>
      <c r="F18" s="94" t="n">
        <v>592</v>
      </c>
      <c r="G18" s="94" t="n">
        <v>589</v>
      </c>
    </row>
    <row r="19">
      <c r="A19" s="93" t="inlineStr">
        <is>
          <t>Probation trust</t>
        </is>
      </c>
      <c r="B19" s="93" t="inlineStr">
        <is>
          <t>Up to and including 6 months</t>
        </is>
      </c>
      <c r="C19" s="94" t="n">
        <v>0</v>
      </c>
      <c r="D19" s="94" t="n">
        <v>0</v>
      </c>
      <c r="E19" s="94" t="n">
        <v>0</v>
      </c>
      <c r="F19" s="94" t="n">
        <v>0</v>
      </c>
      <c r="G19" s="94" t="n">
        <v>0</v>
      </c>
    </row>
    <row r="20">
      <c r="A20" s="93" t="inlineStr">
        <is>
          <t>Probation trust</t>
        </is>
      </c>
      <c r="B20" s="93" t="inlineStr">
        <is>
          <t>From 6 months up to and including 12 months</t>
        </is>
      </c>
      <c r="C20" s="94" t="n">
        <v>0</v>
      </c>
      <c r="D20" s="94" t="n">
        <v>0</v>
      </c>
      <c r="E20" s="94" t="n">
        <v>0</v>
      </c>
      <c r="F20" s="94" t="n">
        <v>0</v>
      </c>
      <c r="G20" s="94" t="n">
        <v>0</v>
      </c>
    </row>
    <row r="21">
      <c r="A21" s="93" t="inlineStr">
        <is>
          <t>Probation trust</t>
        </is>
      </c>
      <c r="B21" s="93" t="inlineStr">
        <is>
          <t>From 12 months up to and including 2 years</t>
        </is>
      </c>
      <c r="C21" s="94" t="n">
        <v>0</v>
      </c>
      <c r="D21" s="94" t="n">
        <v>0</v>
      </c>
      <c r="E21" s="94" t="n">
        <v>0</v>
      </c>
      <c r="F21" s="94" t="n">
        <v>0</v>
      </c>
      <c r="G21" s="94" t="n">
        <v>0</v>
      </c>
    </row>
    <row r="22">
      <c r="A22" s="93" t="inlineStr">
        <is>
          <t>Probation trust</t>
        </is>
      </c>
      <c r="B22" s="93" t="inlineStr">
        <is>
          <t>From 2 years up to and including 5 years</t>
        </is>
      </c>
      <c r="C22" s="94" t="n">
        <v>0</v>
      </c>
      <c r="D22" s="94" t="n">
        <v>0</v>
      </c>
      <c r="E22" s="94" t="n">
        <v>0</v>
      </c>
      <c r="F22" s="94" t="n">
        <v>0</v>
      </c>
      <c r="G22" s="94" t="n">
        <v>0</v>
      </c>
    </row>
    <row r="23">
      <c r="A23" s="93" t="inlineStr">
        <is>
          <t>Probation trust</t>
        </is>
      </c>
      <c r="B23" s="93" t="inlineStr">
        <is>
          <t>More than 5 years</t>
        </is>
      </c>
      <c r="C23" s="94" t="n">
        <v>606</v>
      </c>
      <c r="D23" s="94" t="n">
        <v>602</v>
      </c>
      <c r="E23" s="94" t="n">
        <v>598</v>
      </c>
      <c r="F23" s="94" t="n">
        <v>592</v>
      </c>
      <c r="G23" s="94" t="n">
        <v>589</v>
      </c>
    </row>
    <row r="24" ht="24.9" customHeight="1">
      <c r="A24" s="93" t="inlineStr">
        <is>
          <t>Community rehabilitation companies</t>
        </is>
      </c>
      <c r="B24" s="93" t="inlineStr">
        <is>
          <t>All not returned</t>
        </is>
      </c>
      <c r="C24" s="94" t="n">
        <v>4</v>
      </c>
      <c r="D24" s="94" t="n">
        <v>0</v>
      </c>
      <c r="E24" s="94" t="n">
        <v>0</v>
      </c>
      <c r="F24" s="94" t="n">
        <v>0</v>
      </c>
      <c r="G24" s="94" t="n">
        <v>0</v>
      </c>
    </row>
    <row r="25">
      <c r="A25" s="93" t="inlineStr">
        <is>
          <t>Community rehabilitation companies</t>
        </is>
      </c>
      <c r="B25" s="93" t="inlineStr">
        <is>
          <t>Up to and including 6 months</t>
        </is>
      </c>
      <c r="C25" s="94" t="n">
        <v>0</v>
      </c>
      <c r="D25" s="94" t="n">
        <v>0</v>
      </c>
      <c r="E25" s="94" t="n">
        <v>0</v>
      </c>
      <c r="F25" s="94" t="n">
        <v>0</v>
      </c>
      <c r="G25" s="94" t="n">
        <v>0</v>
      </c>
    </row>
    <row r="26">
      <c r="A26" s="93" t="inlineStr">
        <is>
          <t>Community rehabilitation companies</t>
        </is>
      </c>
      <c r="B26" s="93" t="inlineStr">
        <is>
          <t>From 6 months up to and including 12 months</t>
        </is>
      </c>
      <c r="C26" s="94" t="n">
        <v>0</v>
      </c>
      <c r="D26" s="94" t="n">
        <v>0</v>
      </c>
      <c r="E26" s="94" t="n">
        <v>0</v>
      </c>
      <c r="F26" s="94" t="n">
        <v>0</v>
      </c>
      <c r="G26" s="94" t="n">
        <v>0</v>
      </c>
    </row>
    <row r="27">
      <c r="A27" s="93" t="inlineStr">
        <is>
          <t>Community rehabilitation companies</t>
        </is>
      </c>
      <c r="B27" s="93" t="inlineStr">
        <is>
          <t>From 12 months up to and including 2 years</t>
        </is>
      </c>
      <c r="C27" s="94" t="n">
        <v>0</v>
      </c>
      <c r="D27" s="94" t="n">
        <v>0</v>
      </c>
      <c r="E27" s="94" t="n">
        <v>0</v>
      </c>
      <c r="F27" s="94" t="n">
        <v>0</v>
      </c>
      <c r="G27" s="94" t="n">
        <v>0</v>
      </c>
    </row>
    <row r="28">
      <c r="A28" s="93" t="inlineStr">
        <is>
          <t>Community rehabilitation companies</t>
        </is>
      </c>
      <c r="B28" s="93" t="inlineStr">
        <is>
          <t>From 2 years up to and including 5 years</t>
        </is>
      </c>
      <c r="C28" s="94" t="n">
        <v>2</v>
      </c>
      <c r="D28" s="94" t="n">
        <v>0</v>
      </c>
      <c r="E28" s="94" t="n">
        <v>0</v>
      </c>
      <c r="F28" s="94" t="n">
        <v>0</v>
      </c>
      <c r="G28" s="94" t="n">
        <v>0</v>
      </c>
    </row>
    <row r="29">
      <c r="A29" s="93" t="inlineStr">
        <is>
          <t>Community rehabilitation companies</t>
        </is>
      </c>
      <c r="B29" s="93" t="inlineStr">
        <is>
          <t>More than 5 years</t>
        </is>
      </c>
      <c r="C29" s="94" t="n">
        <v>2</v>
      </c>
      <c r="D29" s="94" t="n">
        <v>0</v>
      </c>
      <c r="E29" s="94" t="n">
        <v>0</v>
      </c>
      <c r="F29" s="94" t="n">
        <v>0</v>
      </c>
      <c r="G29" s="94" t="n">
        <v>0</v>
      </c>
    </row>
  </sheetData>
  <hyperlinks>
    <hyperlink xmlns:r="http://schemas.openxmlformats.org/officeDocument/2006/relationships" ref="A3"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1" customWidth="1" min="1" max="1"/>
    <col width="54" customWidth="1" min="2" max="2"/>
    <col width="44" customWidth="1" min="3" max="3"/>
    <col width="44" customWidth="1" min="4" max="4"/>
    <col width="44" customWidth="1" min="5" max="5"/>
    <col width="44" customWidth="1" min="6" max="6"/>
    <col width="44" customWidth="1" min="7" max="7"/>
  </cols>
  <sheetData>
    <row r="1">
      <c r="A1" s="64" t="inlineStr">
        <is>
          <t>Table 9: number of offenders not returned to custody after licence recall, by offence, England and Wales [note 7]</t>
        </is>
      </c>
    </row>
    <row r="2">
      <c r="A2" s="65" t="inlineStr">
        <is>
          <t>This worksheet contains one table.</t>
        </is>
      </c>
    </row>
    <row r="3">
      <c r="A3" s="66" t="inlineStr">
        <is>
          <t>Link to Contents tab</t>
        </is>
      </c>
    </row>
    <row r="4">
      <c r="A4" s="65" t="inlineStr">
        <is>
          <t>Source: Public Protection Unit Database (PPUD)</t>
        </is>
      </c>
    </row>
    <row r="5" ht="46.8" customHeight="1">
      <c r="A5" s="95" t="inlineStr">
        <is>
          <t>Offence group</t>
        </is>
      </c>
      <c r="B5" s="95" t="inlineStr">
        <is>
          <t>Offence subgroup</t>
        </is>
      </c>
      <c r="C5" s="96" t="inlineStr">
        <is>
          <t>Recalled between 1984 and 31 Mar 2023 not returned by 30 Jun 2023</t>
        </is>
      </c>
      <c r="D5" s="96" t="inlineStr">
        <is>
          <t>Recalled between 1984 and 30 Jun 2023 not returned by 30 Sep 2023</t>
        </is>
      </c>
      <c r="E5" s="96" t="inlineStr">
        <is>
          <t>Recalled between 1984 and 30 Sep 2023 not returned by 31 Dec 2023</t>
        </is>
      </c>
      <c r="F5" s="96" t="inlineStr">
        <is>
          <t>Recalled between 1984 and 31 Dec 2023 not returned by 31 Mar 2024</t>
        </is>
      </c>
      <c r="G5" s="96" t="inlineStr">
        <is>
          <t>Recalled between 1984 and 31 Mar 2024 not returned by 30 Jun 2024</t>
        </is>
      </c>
    </row>
    <row r="6" ht="24.9" customHeight="1">
      <c r="A6" s="97" t="inlineStr">
        <is>
          <t>All offences</t>
        </is>
      </c>
      <c r="B6" s="97" t="inlineStr">
        <is>
          <t>All offences</t>
        </is>
      </c>
      <c r="C6" s="98" t="n">
        <v>2284</v>
      </c>
      <c r="D6" s="98" t="n">
        <v>2317</v>
      </c>
      <c r="E6" s="98" t="n">
        <v>2376</v>
      </c>
      <c r="F6" s="98" t="n">
        <v>2416</v>
      </c>
      <c r="G6" s="98" t="n">
        <v>2507</v>
      </c>
    </row>
    <row r="7" ht="24.9" customHeight="1">
      <c r="A7" s="97" t="inlineStr">
        <is>
          <t>Violence against the person</t>
        </is>
      </c>
      <c r="B7" s="97" t="inlineStr">
        <is>
          <t>All offences</t>
        </is>
      </c>
      <c r="C7" s="98" t="n">
        <v>355</v>
      </c>
      <c r="D7" s="98" t="n">
        <v>338</v>
      </c>
      <c r="E7" s="98" t="n">
        <v>353</v>
      </c>
      <c r="F7" s="98" t="n">
        <v>362</v>
      </c>
      <c r="G7" s="98" t="n">
        <v>360</v>
      </c>
    </row>
    <row r="8">
      <c r="A8" s="97" t="inlineStr">
        <is>
          <t>Violence against the person</t>
        </is>
      </c>
      <c r="B8" s="97" t="inlineStr">
        <is>
          <t>Homicide</t>
        </is>
      </c>
      <c r="C8" s="98" t="n">
        <v>33</v>
      </c>
      <c r="D8" s="98" t="n">
        <v>33</v>
      </c>
      <c r="E8" s="98" t="n">
        <v>34</v>
      </c>
      <c r="F8" s="98" t="n">
        <v>35</v>
      </c>
      <c r="G8" s="98" t="n">
        <v>34</v>
      </c>
    </row>
    <row r="9">
      <c r="A9" s="97" t="inlineStr">
        <is>
          <t>Violence against the person</t>
        </is>
      </c>
      <c r="B9" s="97" t="inlineStr">
        <is>
          <t>Death or serious injury caused by illegal driving</t>
        </is>
      </c>
      <c r="C9" s="98" t="n">
        <v>5</v>
      </c>
      <c r="D9" s="98" t="n">
        <v>6</v>
      </c>
      <c r="E9" s="98" t="n">
        <v>8</v>
      </c>
      <c r="F9" s="98" t="n">
        <v>6</v>
      </c>
      <c r="G9" s="98" t="n">
        <v>6</v>
      </c>
    </row>
    <row r="10">
      <c r="A10" s="97" t="inlineStr">
        <is>
          <t>Violence against the person</t>
        </is>
      </c>
      <c r="B10" s="97" t="inlineStr">
        <is>
          <t>Stalking and harassment</t>
        </is>
      </c>
      <c r="C10" s="98" t="n">
        <v>43</v>
      </c>
      <c r="D10" s="98" t="n">
        <v>36</v>
      </c>
      <c r="E10" s="98" t="n">
        <v>42</v>
      </c>
      <c r="F10" s="98" t="n">
        <v>42</v>
      </c>
      <c r="G10" s="98" t="n">
        <v>44</v>
      </c>
    </row>
    <row r="11">
      <c r="A11" s="97" t="inlineStr">
        <is>
          <t>Violence against the person</t>
        </is>
      </c>
      <c r="B11" s="97" t="inlineStr">
        <is>
          <t>Violence with injury</t>
        </is>
      </c>
      <c r="C11" s="98" t="n">
        <v>183</v>
      </c>
      <c r="D11" s="98" t="n">
        <v>176</v>
      </c>
      <c r="E11" s="98" t="n">
        <v>179</v>
      </c>
      <c r="F11" s="98" t="n">
        <v>188</v>
      </c>
      <c r="G11" s="98" t="n">
        <v>188</v>
      </c>
    </row>
    <row r="12">
      <c r="A12" s="97" t="inlineStr">
        <is>
          <t>Violence against the person</t>
        </is>
      </c>
      <c r="B12" s="97" t="inlineStr">
        <is>
          <t>Violence without injury</t>
        </is>
      </c>
      <c r="C12" s="98" t="n">
        <v>91</v>
      </c>
      <c r="D12" s="98" t="n">
        <v>87</v>
      </c>
      <c r="E12" s="98" t="n">
        <v>90</v>
      </c>
      <c r="F12" s="98" t="n">
        <v>91</v>
      </c>
      <c r="G12" s="98" t="n">
        <v>88</v>
      </c>
    </row>
    <row r="13" ht="24.9" customHeight="1">
      <c r="A13" s="97" t="inlineStr">
        <is>
          <t>Sexual offences</t>
        </is>
      </c>
      <c r="B13" s="97" t="inlineStr">
        <is>
          <t>All offences</t>
        </is>
      </c>
      <c r="C13" s="98" t="n">
        <v>73</v>
      </c>
      <c r="D13" s="98" t="n">
        <v>76</v>
      </c>
      <c r="E13" s="98" t="n">
        <v>75</v>
      </c>
      <c r="F13" s="98" t="n">
        <v>73</v>
      </c>
      <c r="G13" s="98" t="n">
        <v>74</v>
      </c>
    </row>
    <row r="14">
      <c r="A14" s="97" t="inlineStr">
        <is>
          <t>Sexual offences</t>
        </is>
      </c>
      <c r="B14" s="97" t="inlineStr">
        <is>
          <t>Rape</t>
        </is>
      </c>
      <c r="C14" s="98" t="n">
        <v>23</v>
      </c>
      <c r="D14" s="98" t="n">
        <v>23</v>
      </c>
      <c r="E14" s="98" t="n">
        <v>24</v>
      </c>
      <c r="F14" s="98" t="n">
        <v>26</v>
      </c>
      <c r="G14" s="98" t="n">
        <v>25</v>
      </c>
    </row>
    <row r="15">
      <c r="A15" s="97" t="inlineStr">
        <is>
          <t>Sexual offences</t>
        </is>
      </c>
      <c r="B15" s="97" t="inlineStr">
        <is>
          <t>Other sexual offences</t>
        </is>
      </c>
      <c r="C15" s="98" t="n">
        <v>50</v>
      </c>
      <c r="D15" s="98" t="n">
        <v>53</v>
      </c>
      <c r="E15" s="98" t="n">
        <v>51</v>
      </c>
      <c r="F15" s="98" t="n">
        <v>47</v>
      </c>
      <c r="G15" s="98" t="n">
        <v>49</v>
      </c>
    </row>
    <row r="16" ht="24.9" customHeight="1">
      <c r="A16" s="97" t="inlineStr">
        <is>
          <t>Robbery</t>
        </is>
      </c>
      <c r="B16" s="97" t="inlineStr">
        <is>
          <t>All offences</t>
        </is>
      </c>
      <c r="C16" s="98" t="n">
        <v>176</v>
      </c>
      <c r="D16" s="98" t="n">
        <v>174</v>
      </c>
      <c r="E16" s="98" t="n">
        <v>175</v>
      </c>
      <c r="F16" s="98" t="n">
        <v>172</v>
      </c>
      <c r="G16" s="98" t="n">
        <v>174</v>
      </c>
    </row>
    <row r="17">
      <c r="A17" s="97" t="inlineStr">
        <is>
          <t>Theft offences</t>
        </is>
      </c>
      <c r="B17" s="97" t="inlineStr">
        <is>
          <t>All offences</t>
        </is>
      </c>
      <c r="C17" s="98" t="n">
        <v>472</v>
      </c>
      <c r="D17" s="98" t="n">
        <v>465</v>
      </c>
      <c r="E17" s="98" t="n">
        <v>471</v>
      </c>
      <c r="F17" s="98" t="n">
        <v>484</v>
      </c>
      <c r="G17" s="98" t="n">
        <v>486</v>
      </c>
    </row>
    <row r="18">
      <c r="A18" s="97" t="inlineStr">
        <is>
          <t>Fraud</t>
        </is>
      </c>
      <c r="B18" s="97" t="inlineStr">
        <is>
          <t>All offences</t>
        </is>
      </c>
      <c r="C18" s="98" t="n">
        <v>211</v>
      </c>
      <c r="D18" s="98" t="n">
        <v>214</v>
      </c>
      <c r="E18" s="98" t="n">
        <v>208</v>
      </c>
      <c r="F18" s="98" t="n">
        <v>209</v>
      </c>
      <c r="G18" s="98" t="n">
        <v>212</v>
      </c>
    </row>
    <row r="19">
      <c r="A19" s="97" t="inlineStr">
        <is>
          <t>Drug offences</t>
        </is>
      </c>
      <c r="B19" s="97" t="inlineStr">
        <is>
          <t>All offences</t>
        </is>
      </c>
      <c r="C19" s="98" t="n">
        <v>586</v>
      </c>
      <c r="D19" s="98" t="n">
        <v>625</v>
      </c>
      <c r="E19" s="98" t="n">
        <v>652</v>
      </c>
      <c r="F19" s="98" t="n">
        <v>678</v>
      </c>
      <c r="G19" s="98" t="n">
        <v>738</v>
      </c>
    </row>
    <row r="20">
      <c r="A20" s="97" t="inlineStr">
        <is>
          <t>Summary motoring</t>
        </is>
      </c>
      <c r="B20" s="97" t="inlineStr">
        <is>
          <t>All offences</t>
        </is>
      </c>
      <c r="C20" s="98" t="n">
        <v>74</v>
      </c>
      <c r="D20" s="98" t="n">
        <v>75</v>
      </c>
      <c r="E20" s="98" t="n">
        <v>80</v>
      </c>
      <c r="F20" s="98" t="n">
        <v>77</v>
      </c>
      <c r="G20" s="98" t="n">
        <v>86</v>
      </c>
    </row>
    <row r="21">
      <c r="A21" s="97" t="inlineStr">
        <is>
          <t>Public order offences</t>
        </is>
      </c>
      <c r="B21" s="97" t="inlineStr">
        <is>
          <t>All offences</t>
        </is>
      </c>
      <c r="C21" s="98" t="n">
        <v>44</v>
      </c>
      <c r="D21" s="98" t="n">
        <v>48</v>
      </c>
      <c r="E21" s="98" t="n">
        <v>49</v>
      </c>
      <c r="F21" s="98" t="n">
        <v>52</v>
      </c>
      <c r="G21" s="98" t="n">
        <v>44</v>
      </c>
    </row>
    <row r="22">
      <c r="A22" s="97" t="inlineStr">
        <is>
          <t>Possession of weapons</t>
        </is>
      </c>
      <c r="B22" s="97" t="inlineStr">
        <is>
          <t>All offences</t>
        </is>
      </c>
      <c r="C22" s="98" t="n">
        <v>73</v>
      </c>
      <c r="D22" s="98" t="n">
        <v>78</v>
      </c>
      <c r="E22" s="98" t="n">
        <v>82</v>
      </c>
      <c r="F22" s="98" t="n">
        <v>79</v>
      </c>
      <c r="G22" s="98" t="n">
        <v>84</v>
      </c>
    </row>
    <row r="23">
      <c r="A23" s="97" t="inlineStr">
        <is>
          <t>Miscellaneous crimes against society</t>
        </is>
      </c>
      <c r="B23" s="97" t="inlineStr">
        <is>
          <t>All offences</t>
        </is>
      </c>
      <c r="C23" s="98" t="n">
        <v>197</v>
      </c>
      <c r="D23" s="98" t="n">
        <v>201</v>
      </c>
      <c r="E23" s="98" t="n">
        <v>206</v>
      </c>
      <c r="F23" s="98" t="n">
        <v>207</v>
      </c>
      <c r="G23" s="98" t="n">
        <v>223</v>
      </c>
    </row>
    <row r="24">
      <c r="A24" s="97" t="inlineStr">
        <is>
          <t>Criminal damage and arson</t>
        </is>
      </c>
      <c r="B24" s="97" t="inlineStr">
        <is>
          <t>All offences</t>
        </is>
      </c>
      <c r="C24" s="98" t="n">
        <v>22</v>
      </c>
      <c r="D24" s="98" t="n">
        <v>22</v>
      </c>
      <c r="E24" s="98" t="n">
        <v>24</v>
      </c>
      <c r="F24" s="98" t="n">
        <v>23</v>
      </c>
      <c r="G24" s="98" t="n">
        <v>26</v>
      </c>
    </row>
    <row r="25">
      <c r="A25" s="97" t="inlineStr">
        <is>
          <t>Offence not recorded</t>
        </is>
      </c>
      <c r="B25" s="97" t="inlineStr">
        <is>
          <t>All offences</t>
        </is>
      </c>
      <c r="C25" s="98" t="n">
        <v>1</v>
      </c>
      <c r="D25" s="98" t="n">
        <v>1</v>
      </c>
      <c r="E25" s="98" t="n">
        <v>1</v>
      </c>
      <c r="F25" s="98" t="n">
        <v>0</v>
      </c>
      <c r="G25" s="98" t="n">
        <v>0</v>
      </c>
    </row>
  </sheetData>
  <hyperlinks>
    <hyperlink xmlns:r="http://schemas.openxmlformats.org/officeDocument/2006/relationships" ref="A3"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9"/>
  <sheetViews>
    <sheetView workbookViewId="0">
      <selection activeCell="A1" sqref="A1"/>
    </sheetView>
  </sheetViews>
  <sheetFormatPr baseColWidth="8" defaultRowHeight="15"/>
  <cols>
    <col width="20" customWidth="1" min="1" max="1"/>
    <col width="36" customWidth="1" min="2" max="2"/>
    <col width="35" customWidth="1" min="3" max="3"/>
    <col width="20" customWidth="1" min="4" max="4"/>
    <col width="20" customWidth="1" min="5" max="5"/>
    <col width="20" customWidth="1" min="6" max="6"/>
    <col width="20" customWidth="1" min="7" max="7"/>
    <col width="20" customWidth="1" min="8" max="8"/>
  </cols>
  <sheetData>
    <row r="1">
      <c r="A1" s="64" t="inlineStr">
        <is>
          <t>Table 10: Time series: number of recalls, by sex, sentence and reason for recall, England and Wales [note 8][note 9][note 10]</t>
        </is>
      </c>
    </row>
    <row r="2">
      <c r="A2" s="65" t="inlineStr">
        <is>
          <t>This worksheet contains one table.</t>
        </is>
      </c>
    </row>
    <row r="3">
      <c r="A3" s="66" t="inlineStr">
        <is>
          <t>Link to Contents tab</t>
        </is>
      </c>
    </row>
    <row r="4">
      <c r="A4" s="65" t="inlineStr">
        <is>
          <t>Source: Public Protection Unit Database (PPUD)</t>
        </is>
      </c>
    </row>
    <row r="5" ht="46.8" customHeight="1">
      <c r="A5" s="99" t="inlineStr">
        <is>
          <t>Sex</t>
        </is>
      </c>
      <c r="B5" s="99" t="inlineStr">
        <is>
          <t>Sentence type</t>
        </is>
      </c>
      <c r="C5" s="99" t="inlineStr">
        <is>
          <t>Recall reason</t>
        </is>
      </c>
      <c r="D5" s="100" t="inlineStr">
        <is>
          <t>Jan to Mar 2023</t>
        </is>
      </c>
      <c r="E5" s="100" t="inlineStr">
        <is>
          <t>Apr to Jun 2023</t>
        </is>
      </c>
      <c r="F5" s="100" t="inlineStr">
        <is>
          <t>Jul to Sep 2023</t>
        </is>
      </c>
      <c r="G5" s="100" t="inlineStr">
        <is>
          <t>Oct to Dec 2023</t>
        </is>
      </c>
      <c r="H5" s="100" t="inlineStr">
        <is>
          <t>Jan to Mar 2024</t>
        </is>
      </c>
    </row>
    <row r="6" ht="24.9" customHeight="1">
      <c r="A6" s="101" t="inlineStr">
        <is>
          <t>Male and female</t>
        </is>
      </c>
      <c r="B6" s="101" t="inlineStr">
        <is>
          <t>All sentence types</t>
        </is>
      </c>
      <c r="C6" s="101" t="inlineStr">
        <is>
          <t>Facing further charge</t>
        </is>
      </c>
      <c r="D6" s="102" t="n">
        <v>1977</v>
      </c>
      <c r="E6" s="102" t="n">
        <v>1883</v>
      </c>
      <c r="F6" s="102" t="n">
        <v>1815</v>
      </c>
      <c r="G6" s="102" t="n">
        <v>1835</v>
      </c>
      <c r="H6" s="102" t="n">
        <v>1942</v>
      </c>
    </row>
    <row r="7">
      <c r="A7" s="101" t="inlineStr">
        <is>
          <t>Male and female</t>
        </is>
      </c>
      <c r="B7" s="101" t="inlineStr">
        <is>
          <t>All sentence types</t>
        </is>
      </c>
      <c r="C7" s="101" t="inlineStr">
        <is>
          <t>Non-compliance</t>
        </is>
      </c>
      <c r="D7" s="102" t="n">
        <v>5047</v>
      </c>
      <c r="E7" s="102" t="n">
        <v>5038</v>
      </c>
      <c r="F7" s="102" t="n">
        <v>5376</v>
      </c>
      <c r="G7" s="102" t="n">
        <v>5495</v>
      </c>
      <c r="H7" s="102" t="n">
        <v>5808</v>
      </c>
    </row>
    <row r="8">
      <c r="A8" s="101" t="inlineStr">
        <is>
          <t>Male and female</t>
        </is>
      </c>
      <c r="B8" s="101" t="inlineStr">
        <is>
          <t>All sentence types</t>
        </is>
      </c>
      <c r="C8" s="101" t="inlineStr">
        <is>
          <t>Failed to keep in touch</t>
        </is>
      </c>
      <c r="D8" s="102" t="n">
        <v>2140</v>
      </c>
      <c r="E8" s="102" t="n">
        <v>2110</v>
      </c>
      <c r="F8" s="102" t="n">
        <v>2286</v>
      </c>
      <c r="G8" s="102" t="n">
        <v>2428</v>
      </c>
      <c r="H8" s="102" t="n">
        <v>2426</v>
      </c>
    </row>
    <row r="9">
      <c r="A9" s="101" t="inlineStr">
        <is>
          <t>Male and female</t>
        </is>
      </c>
      <c r="B9" s="101" t="inlineStr">
        <is>
          <t>All sentence types</t>
        </is>
      </c>
      <c r="C9" s="101" t="inlineStr">
        <is>
          <t>Failed to reside</t>
        </is>
      </c>
      <c r="D9" s="102" t="n">
        <v>1792</v>
      </c>
      <c r="E9" s="102" t="n">
        <v>1810</v>
      </c>
      <c r="F9" s="102" t="n">
        <v>1920</v>
      </c>
      <c r="G9" s="102" t="n">
        <v>1836</v>
      </c>
      <c r="H9" s="102" t="n">
        <v>1862</v>
      </c>
    </row>
    <row r="10">
      <c r="A10" s="101" t="inlineStr">
        <is>
          <t>Male and female</t>
        </is>
      </c>
      <c r="B10" s="101" t="inlineStr">
        <is>
          <t>All sentence types</t>
        </is>
      </c>
      <c r="C10" s="101" t="inlineStr">
        <is>
          <t>Drugs/alcohol</t>
        </is>
      </c>
      <c r="D10" s="102" t="n">
        <v>437</v>
      </c>
      <c r="E10" s="102" t="n">
        <v>489</v>
      </c>
      <c r="F10" s="102" t="n">
        <v>577</v>
      </c>
      <c r="G10" s="102" t="n">
        <v>481</v>
      </c>
      <c r="H10" s="102" t="n">
        <v>461</v>
      </c>
    </row>
    <row r="11">
      <c r="A11" s="101" t="inlineStr">
        <is>
          <t>Male and female</t>
        </is>
      </c>
      <c r="B11" s="101" t="inlineStr">
        <is>
          <t>All sentence types</t>
        </is>
      </c>
      <c r="C11" s="101" t="inlineStr">
        <is>
          <t>Poor Behaviour - Relationships</t>
        </is>
      </c>
      <c r="D11" s="102" t="n">
        <v>214</v>
      </c>
      <c r="E11" s="102" t="n">
        <v>212</v>
      </c>
      <c r="F11" s="102" t="n">
        <v>224</v>
      </c>
      <c r="G11" s="102" t="n">
        <v>198</v>
      </c>
      <c r="H11" s="102" t="n">
        <v>195</v>
      </c>
    </row>
    <row r="12">
      <c r="A12" s="101" t="inlineStr">
        <is>
          <t>Male and female</t>
        </is>
      </c>
      <c r="B12" s="101" t="inlineStr">
        <is>
          <t>All sentence types</t>
        </is>
      </c>
      <c r="C12" s="101" t="inlineStr">
        <is>
          <t>HDC - Time violation</t>
        </is>
      </c>
      <c r="D12" s="102" t="n">
        <v>131</v>
      </c>
      <c r="E12" s="102" t="n">
        <v>171</v>
      </c>
      <c r="F12" s="102" t="n">
        <v>151</v>
      </c>
      <c r="G12" s="102" t="n">
        <v>158</v>
      </c>
      <c r="H12" s="102" t="n">
        <v>190</v>
      </c>
    </row>
    <row r="13">
      <c r="A13" s="101" t="inlineStr">
        <is>
          <t>Male and female</t>
        </is>
      </c>
      <c r="B13" s="101" t="inlineStr">
        <is>
          <t>All sentence types</t>
        </is>
      </c>
      <c r="C13" s="101" t="inlineStr">
        <is>
          <t>HDC - Inability to monitor</t>
        </is>
      </c>
      <c r="D13" s="102" t="n">
        <v>75</v>
      </c>
      <c r="E13" s="102" t="n">
        <v>71</v>
      </c>
      <c r="F13" s="102" t="n">
        <v>81</v>
      </c>
      <c r="G13" s="102" t="n">
        <v>84</v>
      </c>
      <c r="H13" s="102" t="n">
        <v>82</v>
      </c>
    </row>
    <row r="14">
      <c r="A14" s="101" t="inlineStr">
        <is>
          <t>Male and female</t>
        </is>
      </c>
      <c r="B14" s="101" t="inlineStr">
        <is>
          <t>All sentence types</t>
        </is>
      </c>
      <c r="C14" s="101" t="inlineStr">
        <is>
          <t>Failed home visit</t>
        </is>
      </c>
      <c r="D14" s="102" t="n">
        <v>78</v>
      </c>
      <c r="E14" s="102" t="n">
        <v>73</v>
      </c>
      <c r="F14" s="102" t="n">
        <v>86</v>
      </c>
      <c r="G14" s="102" t="n">
        <v>99</v>
      </c>
      <c r="H14" s="102" t="n">
        <v>77</v>
      </c>
    </row>
    <row r="15">
      <c r="A15" s="101" t="inlineStr">
        <is>
          <t>Male and female</t>
        </is>
      </c>
      <c r="B15" s="101" t="inlineStr">
        <is>
          <t>All sentence types</t>
        </is>
      </c>
      <c r="C15" s="101" t="inlineStr">
        <is>
          <t>HDC - Failed installation</t>
        </is>
      </c>
      <c r="D15" s="102" t="n">
        <v>29</v>
      </c>
      <c r="E15" s="102" t="n">
        <v>30</v>
      </c>
      <c r="F15" s="102" t="n">
        <v>51</v>
      </c>
      <c r="G15" s="102" t="n">
        <v>66</v>
      </c>
      <c r="H15" s="102" t="n">
        <v>59</v>
      </c>
    </row>
    <row r="16">
      <c r="A16" s="101" t="inlineStr">
        <is>
          <t>Male and female</t>
        </is>
      </c>
      <c r="B16" s="101" t="inlineStr">
        <is>
          <t>All sentence types</t>
        </is>
      </c>
      <c r="C16" s="101" t="inlineStr">
        <is>
          <t>HDC - Equipment Tamper</t>
        </is>
      </c>
      <c r="D16" s="102" t="n">
        <v>2</v>
      </c>
      <c r="E16" s="102" t="n">
        <v>15</v>
      </c>
      <c r="F16" s="102" t="n">
        <v>11</v>
      </c>
      <c r="G16" s="102" t="n">
        <v>12</v>
      </c>
      <c r="H16" s="102" t="n">
        <v>10</v>
      </c>
    </row>
    <row r="17">
      <c r="A17" s="101" t="inlineStr">
        <is>
          <t>Male and female</t>
        </is>
      </c>
      <c r="B17" s="101" t="inlineStr">
        <is>
          <t>All sentence types</t>
        </is>
      </c>
      <c r="C17" s="101" t="inlineStr">
        <is>
          <t>Other</t>
        </is>
      </c>
      <c r="D17" s="102" t="n">
        <v>1299</v>
      </c>
      <c r="E17" s="102" t="n">
        <v>1304</v>
      </c>
      <c r="F17" s="102" t="n">
        <v>1296</v>
      </c>
      <c r="G17" s="102" t="n">
        <v>1333</v>
      </c>
      <c r="H17" s="102" t="n">
        <v>1467</v>
      </c>
    </row>
    <row r="18" ht="24.9" customHeight="1">
      <c r="A18" s="101" t="inlineStr">
        <is>
          <t>Male and female</t>
        </is>
      </c>
      <c r="B18" s="101" t="inlineStr">
        <is>
          <t>Determinate less than 12 months</t>
        </is>
      </c>
      <c r="C18" s="101" t="inlineStr">
        <is>
          <t>Facing further charge</t>
        </is>
      </c>
      <c r="D18" s="102" t="n">
        <v>668</v>
      </c>
      <c r="E18" s="102" t="n">
        <v>617</v>
      </c>
      <c r="F18" s="102" t="n">
        <v>633</v>
      </c>
      <c r="G18" s="102" t="n">
        <v>695</v>
      </c>
      <c r="H18" s="102" t="n">
        <v>730</v>
      </c>
    </row>
    <row r="19">
      <c r="A19" s="101" t="inlineStr">
        <is>
          <t>Male and female</t>
        </is>
      </c>
      <c r="B19" s="101" t="inlineStr">
        <is>
          <t>Determinate less than 12 months</t>
        </is>
      </c>
      <c r="C19" s="101" t="inlineStr">
        <is>
          <t>Non-compliance</t>
        </is>
      </c>
      <c r="D19" s="102" t="n">
        <v>2018</v>
      </c>
      <c r="E19" s="102" t="n">
        <v>2070</v>
      </c>
      <c r="F19" s="102" t="n">
        <v>2305</v>
      </c>
      <c r="G19" s="102" t="n">
        <v>2377</v>
      </c>
      <c r="H19" s="102" t="n">
        <v>2574</v>
      </c>
    </row>
    <row r="20">
      <c r="A20" s="101" t="inlineStr">
        <is>
          <t>Male and female</t>
        </is>
      </c>
      <c r="B20" s="101" t="inlineStr">
        <is>
          <t>Determinate less than 12 months</t>
        </is>
      </c>
      <c r="C20" s="101" t="inlineStr">
        <is>
          <t>Failed to keep in touch</t>
        </is>
      </c>
      <c r="D20" s="102" t="n">
        <v>1284</v>
      </c>
      <c r="E20" s="102" t="n">
        <v>1278</v>
      </c>
      <c r="F20" s="102" t="n">
        <v>1389</v>
      </c>
      <c r="G20" s="102" t="n">
        <v>1530</v>
      </c>
      <c r="H20" s="102" t="n">
        <v>1585</v>
      </c>
    </row>
    <row r="21">
      <c r="A21" s="101" t="inlineStr">
        <is>
          <t>Male and female</t>
        </is>
      </c>
      <c r="B21" s="101" t="inlineStr">
        <is>
          <t>Determinate less than 12 months</t>
        </is>
      </c>
      <c r="C21" s="101" t="inlineStr">
        <is>
          <t>Failed to reside</t>
        </is>
      </c>
      <c r="D21" s="102" t="n">
        <v>797</v>
      </c>
      <c r="E21" s="102" t="n">
        <v>758</v>
      </c>
      <c r="F21" s="102" t="n">
        <v>825</v>
      </c>
      <c r="G21" s="102" t="n">
        <v>814</v>
      </c>
      <c r="H21" s="102" t="n">
        <v>861</v>
      </c>
    </row>
    <row r="22">
      <c r="A22" s="101" t="inlineStr">
        <is>
          <t>Male and female</t>
        </is>
      </c>
      <c r="B22" s="101" t="inlineStr">
        <is>
          <t>Determinate less than 12 months</t>
        </is>
      </c>
      <c r="C22" s="101" t="inlineStr">
        <is>
          <t>Drugs/alcohol</t>
        </is>
      </c>
      <c r="D22" s="102" t="n">
        <v>139</v>
      </c>
      <c r="E22" s="102" t="n">
        <v>153</v>
      </c>
      <c r="F22" s="102" t="n">
        <v>213</v>
      </c>
      <c r="G22" s="102" t="n">
        <v>155</v>
      </c>
      <c r="H22" s="102" t="n">
        <v>156</v>
      </c>
    </row>
    <row r="23">
      <c r="A23" s="101" t="inlineStr">
        <is>
          <t>Male and female</t>
        </is>
      </c>
      <c r="B23" s="101" t="inlineStr">
        <is>
          <t>Determinate less than 12 months</t>
        </is>
      </c>
      <c r="C23" s="101" t="inlineStr">
        <is>
          <t>Poor Behaviour - Relationships</t>
        </is>
      </c>
      <c r="D23" s="102" t="n">
        <v>63</v>
      </c>
      <c r="E23" s="102" t="n">
        <v>35</v>
      </c>
      <c r="F23" s="102" t="n">
        <v>61</v>
      </c>
      <c r="G23" s="102" t="n">
        <v>50</v>
      </c>
      <c r="H23" s="102" t="n">
        <v>48</v>
      </c>
    </row>
    <row r="24">
      <c r="A24" s="101" t="inlineStr">
        <is>
          <t>Male and female</t>
        </is>
      </c>
      <c r="B24" s="101" t="inlineStr">
        <is>
          <t>Determinate less than 12 months</t>
        </is>
      </c>
      <c r="C24" s="101" t="inlineStr">
        <is>
          <t>HDC - Time violation</t>
        </is>
      </c>
      <c r="D24" s="102" t="n">
        <v>1</v>
      </c>
      <c r="E24" s="102" t="n">
        <v>5</v>
      </c>
      <c r="F24" s="102" t="n">
        <v>3</v>
      </c>
      <c r="G24" s="102" t="n">
        <v>4</v>
      </c>
      <c r="H24" s="102" t="n">
        <v>3</v>
      </c>
    </row>
    <row r="25">
      <c r="A25" s="101" t="inlineStr">
        <is>
          <t>Male and female</t>
        </is>
      </c>
      <c r="B25" s="101" t="inlineStr">
        <is>
          <t>Determinate less than 12 months</t>
        </is>
      </c>
      <c r="C25" s="101" t="inlineStr">
        <is>
          <t>HDC - Inability to monitor</t>
        </is>
      </c>
      <c r="D25" s="102" t="n">
        <v>3</v>
      </c>
      <c r="E25" s="102" t="n">
        <v>1</v>
      </c>
      <c r="F25" s="102" t="n">
        <v>2</v>
      </c>
      <c r="G25" s="102" t="n">
        <v>0</v>
      </c>
      <c r="H25" s="102" t="n">
        <v>2</v>
      </c>
    </row>
    <row r="26">
      <c r="A26" s="101" t="inlineStr">
        <is>
          <t>Male and female</t>
        </is>
      </c>
      <c r="B26" s="101" t="inlineStr">
        <is>
          <t>Determinate less than 12 months</t>
        </is>
      </c>
      <c r="C26" s="101" t="inlineStr">
        <is>
          <t>Failed home visit</t>
        </is>
      </c>
      <c r="D26" s="102" t="n">
        <v>30</v>
      </c>
      <c r="E26" s="102" t="n">
        <v>25</v>
      </c>
      <c r="F26" s="102" t="n">
        <v>42</v>
      </c>
      <c r="G26" s="102" t="n">
        <v>48</v>
      </c>
      <c r="H26" s="102" t="n">
        <v>34</v>
      </c>
    </row>
    <row r="27">
      <c r="A27" s="101" t="inlineStr">
        <is>
          <t>Male and female</t>
        </is>
      </c>
      <c r="B27" s="101" t="inlineStr">
        <is>
          <t>Determinate less than 12 months</t>
        </is>
      </c>
      <c r="C27" s="101" t="inlineStr">
        <is>
          <t>HDC - Failed installation</t>
        </is>
      </c>
      <c r="D27" s="102" t="n">
        <v>0</v>
      </c>
      <c r="E27" s="102" t="n">
        <v>0</v>
      </c>
      <c r="F27" s="102" t="n">
        <v>2</v>
      </c>
      <c r="G27" s="102" t="n">
        <v>2</v>
      </c>
      <c r="H27" s="102" t="n">
        <v>3</v>
      </c>
    </row>
    <row r="28">
      <c r="A28" s="101" t="inlineStr">
        <is>
          <t>Male and female</t>
        </is>
      </c>
      <c r="B28" s="101" t="inlineStr">
        <is>
          <t>Determinate less than 12 months</t>
        </is>
      </c>
      <c r="C28" s="101" t="inlineStr">
        <is>
          <t>HDC - Equipment Tamper</t>
        </is>
      </c>
      <c r="D28" s="102" t="n">
        <v>0</v>
      </c>
      <c r="E28" s="102" t="n">
        <v>0</v>
      </c>
      <c r="F28" s="102" t="n">
        <v>0</v>
      </c>
      <c r="G28" s="102" t="n">
        <v>0</v>
      </c>
      <c r="H28" s="102" t="n">
        <v>0</v>
      </c>
    </row>
    <row r="29">
      <c r="A29" s="101" t="inlineStr">
        <is>
          <t>Male and female</t>
        </is>
      </c>
      <c r="B29" s="101" t="inlineStr">
        <is>
          <t>Determinate less than 12 months</t>
        </is>
      </c>
      <c r="C29" s="101" t="inlineStr">
        <is>
          <t>Other</t>
        </is>
      </c>
      <c r="D29" s="102" t="n">
        <v>447</v>
      </c>
      <c r="E29" s="102" t="n">
        <v>475</v>
      </c>
      <c r="F29" s="102" t="n">
        <v>479</v>
      </c>
      <c r="G29" s="102" t="n">
        <v>470</v>
      </c>
      <c r="H29" s="102" t="n">
        <v>510</v>
      </c>
    </row>
    <row r="30" ht="24.9" customHeight="1">
      <c r="A30" s="101" t="inlineStr">
        <is>
          <t>Male and female</t>
        </is>
      </c>
      <c r="B30" s="101" t="inlineStr">
        <is>
          <t>Determinate 12 months or more</t>
        </is>
      </c>
      <c r="C30" s="101" t="inlineStr">
        <is>
          <t>Facing further charge</t>
        </is>
      </c>
      <c r="D30" s="102" t="n">
        <v>1225</v>
      </c>
      <c r="E30" s="102" t="n">
        <v>1183</v>
      </c>
      <c r="F30" s="102" t="n">
        <v>1099</v>
      </c>
      <c r="G30" s="102" t="n">
        <v>1086</v>
      </c>
      <c r="H30" s="102" t="n">
        <v>1152</v>
      </c>
    </row>
    <row r="31">
      <c r="A31" s="101" t="inlineStr">
        <is>
          <t>Male and female</t>
        </is>
      </c>
      <c r="B31" s="101" t="inlineStr">
        <is>
          <t>Determinate 12 months or more</t>
        </is>
      </c>
      <c r="C31" s="101" t="inlineStr">
        <is>
          <t>Non-compliance</t>
        </is>
      </c>
      <c r="D31" s="102" t="n">
        <v>2794</v>
      </c>
      <c r="E31" s="102" t="n">
        <v>2744</v>
      </c>
      <c r="F31" s="102" t="n">
        <v>2856</v>
      </c>
      <c r="G31" s="102" t="n">
        <v>2923</v>
      </c>
      <c r="H31" s="102" t="n">
        <v>3056</v>
      </c>
    </row>
    <row r="32">
      <c r="A32" s="101" t="inlineStr">
        <is>
          <t>Male and female</t>
        </is>
      </c>
      <c r="B32" s="101" t="inlineStr">
        <is>
          <t>Determinate 12 months or more</t>
        </is>
      </c>
      <c r="C32" s="101" t="inlineStr">
        <is>
          <t>Failed to keep in touch</t>
        </is>
      </c>
      <c r="D32" s="102" t="n">
        <v>825</v>
      </c>
      <c r="E32" s="102" t="n">
        <v>798</v>
      </c>
      <c r="F32" s="102" t="n">
        <v>871</v>
      </c>
      <c r="G32" s="102" t="n">
        <v>874</v>
      </c>
      <c r="H32" s="102" t="n">
        <v>825</v>
      </c>
    </row>
    <row r="33">
      <c r="A33" s="101" t="inlineStr">
        <is>
          <t>Male and female</t>
        </is>
      </c>
      <c r="B33" s="101" t="inlineStr">
        <is>
          <t>Determinate 12 months or more</t>
        </is>
      </c>
      <c r="C33" s="101" t="inlineStr">
        <is>
          <t>Failed to reside</t>
        </is>
      </c>
      <c r="D33" s="102" t="n">
        <v>940</v>
      </c>
      <c r="E33" s="102" t="n">
        <v>1004</v>
      </c>
      <c r="F33" s="102" t="n">
        <v>1043</v>
      </c>
      <c r="G33" s="102" t="n">
        <v>982</v>
      </c>
      <c r="H33" s="102" t="n">
        <v>959</v>
      </c>
    </row>
    <row r="34">
      <c r="A34" s="101" t="inlineStr">
        <is>
          <t>Male and female</t>
        </is>
      </c>
      <c r="B34" s="101" t="inlineStr">
        <is>
          <t>Determinate 12 months or more</t>
        </is>
      </c>
      <c r="C34" s="101" t="inlineStr">
        <is>
          <t>Drugs/alcohol</t>
        </is>
      </c>
      <c r="D34" s="102" t="n">
        <v>266</v>
      </c>
      <c r="E34" s="102" t="n">
        <v>294</v>
      </c>
      <c r="F34" s="102" t="n">
        <v>328</v>
      </c>
      <c r="G34" s="102" t="n">
        <v>304</v>
      </c>
      <c r="H34" s="102" t="n">
        <v>278</v>
      </c>
    </row>
    <row r="35">
      <c r="A35" s="101" t="inlineStr">
        <is>
          <t>Male and female</t>
        </is>
      </c>
      <c r="B35" s="101" t="inlineStr">
        <is>
          <t>Determinate 12 months or more</t>
        </is>
      </c>
      <c r="C35" s="101" t="inlineStr">
        <is>
          <t>Poor Behaviour - Relationships</t>
        </is>
      </c>
      <c r="D35" s="102" t="n">
        <v>130</v>
      </c>
      <c r="E35" s="102" t="n">
        <v>160</v>
      </c>
      <c r="F35" s="102" t="n">
        <v>143</v>
      </c>
      <c r="G35" s="102" t="n">
        <v>133</v>
      </c>
      <c r="H35" s="102" t="n">
        <v>132</v>
      </c>
    </row>
    <row r="36">
      <c r="A36" s="101" t="inlineStr">
        <is>
          <t>Male and female</t>
        </is>
      </c>
      <c r="B36" s="101" t="inlineStr">
        <is>
          <t>Determinate 12 months or more</t>
        </is>
      </c>
      <c r="C36" s="101" t="inlineStr">
        <is>
          <t>HDC - Time violation</t>
        </is>
      </c>
      <c r="D36" s="102" t="n">
        <v>130</v>
      </c>
      <c r="E36" s="102" t="n">
        <v>166</v>
      </c>
      <c r="F36" s="102" t="n">
        <v>148</v>
      </c>
      <c r="G36" s="102" t="n">
        <v>154</v>
      </c>
      <c r="H36" s="102" t="n">
        <v>187</v>
      </c>
    </row>
    <row r="37">
      <c r="A37" s="101" t="inlineStr">
        <is>
          <t>Male and female</t>
        </is>
      </c>
      <c r="B37" s="101" t="inlineStr">
        <is>
          <t>Determinate 12 months or more</t>
        </is>
      </c>
      <c r="C37" s="101" t="inlineStr">
        <is>
          <t>HDC - Inability to monitor</t>
        </is>
      </c>
      <c r="D37" s="102" t="n">
        <v>72</v>
      </c>
      <c r="E37" s="102" t="n">
        <v>70</v>
      </c>
      <c r="F37" s="102" t="n">
        <v>79</v>
      </c>
      <c r="G37" s="102" t="n">
        <v>84</v>
      </c>
      <c r="H37" s="102" t="n">
        <v>80</v>
      </c>
    </row>
    <row r="38">
      <c r="A38" s="101" t="inlineStr">
        <is>
          <t>Male and female</t>
        </is>
      </c>
      <c r="B38" s="101" t="inlineStr">
        <is>
          <t>Determinate 12 months or more</t>
        </is>
      </c>
      <c r="C38" s="101" t="inlineStr">
        <is>
          <t>Failed home visit</t>
        </is>
      </c>
      <c r="D38" s="102" t="n">
        <v>47</v>
      </c>
      <c r="E38" s="102" t="n">
        <v>48</v>
      </c>
      <c r="F38" s="102" t="n">
        <v>41</v>
      </c>
      <c r="G38" s="102" t="n">
        <v>48</v>
      </c>
      <c r="H38" s="102" t="n">
        <v>42</v>
      </c>
    </row>
    <row r="39">
      <c r="A39" s="101" t="inlineStr">
        <is>
          <t>Male and female</t>
        </is>
      </c>
      <c r="B39" s="101" t="inlineStr">
        <is>
          <t>Determinate 12 months or more</t>
        </is>
      </c>
      <c r="C39" s="101" t="inlineStr">
        <is>
          <t>HDC - Failed installation</t>
        </is>
      </c>
      <c r="D39" s="102" t="n">
        <v>29</v>
      </c>
      <c r="E39" s="102" t="n">
        <v>30</v>
      </c>
      <c r="F39" s="102" t="n">
        <v>49</v>
      </c>
      <c r="G39" s="102" t="n">
        <v>64</v>
      </c>
      <c r="H39" s="102" t="n">
        <v>56</v>
      </c>
    </row>
    <row r="40">
      <c r="A40" s="101" t="inlineStr">
        <is>
          <t>Male and female</t>
        </is>
      </c>
      <c r="B40" s="101" t="inlineStr">
        <is>
          <t>Determinate 12 months or more</t>
        </is>
      </c>
      <c r="C40" s="101" t="inlineStr">
        <is>
          <t>HDC - Equipment Tamper</t>
        </is>
      </c>
      <c r="D40" s="102" t="n">
        <v>2</v>
      </c>
      <c r="E40" s="102" t="n">
        <v>15</v>
      </c>
      <c r="F40" s="102" t="n">
        <v>11</v>
      </c>
      <c r="G40" s="102" t="n">
        <v>12</v>
      </c>
      <c r="H40" s="102" t="n">
        <v>10</v>
      </c>
    </row>
    <row r="41">
      <c r="A41" s="101" t="inlineStr">
        <is>
          <t>Male and female</t>
        </is>
      </c>
      <c r="B41" s="101" t="inlineStr">
        <is>
          <t>Determinate 12 months or more</t>
        </is>
      </c>
      <c r="C41" s="101" t="inlineStr">
        <is>
          <t>Other</t>
        </is>
      </c>
      <c r="D41" s="102" t="n">
        <v>802</v>
      </c>
      <c r="E41" s="102" t="n">
        <v>782</v>
      </c>
      <c r="F41" s="102" t="n">
        <v>774</v>
      </c>
      <c r="G41" s="102" t="n">
        <v>825</v>
      </c>
      <c r="H41" s="102" t="n">
        <v>916</v>
      </c>
    </row>
    <row r="42" ht="24.9" customHeight="1">
      <c r="A42" s="101" t="inlineStr">
        <is>
          <t>Male and female</t>
        </is>
      </c>
      <c r="B42" s="101" t="inlineStr">
        <is>
          <t>IPP</t>
        </is>
      </c>
      <c r="C42" s="101" t="inlineStr">
        <is>
          <t>Facing further charge</t>
        </is>
      </c>
      <c r="D42" s="102" t="n">
        <v>59</v>
      </c>
      <c r="E42" s="102" t="n">
        <v>45</v>
      </c>
      <c r="F42" s="102" t="n">
        <v>57</v>
      </c>
      <c r="G42" s="102" t="n">
        <v>34</v>
      </c>
      <c r="H42" s="102" t="n">
        <v>43</v>
      </c>
    </row>
    <row r="43">
      <c r="A43" s="101" t="inlineStr">
        <is>
          <t>Male and female</t>
        </is>
      </c>
      <c r="B43" s="101" t="inlineStr">
        <is>
          <t>IPP</t>
        </is>
      </c>
      <c r="C43" s="101" t="inlineStr">
        <is>
          <t>Non-compliance</t>
        </is>
      </c>
      <c r="D43" s="102" t="n">
        <v>150</v>
      </c>
      <c r="E43" s="102" t="n">
        <v>139</v>
      </c>
      <c r="F43" s="102" t="n">
        <v>140</v>
      </c>
      <c r="G43" s="102" t="n">
        <v>120</v>
      </c>
      <c r="H43" s="102" t="n">
        <v>120</v>
      </c>
    </row>
    <row r="44">
      <c r="A44" s="101" t="inlineStr">
        <is>
          <t>Male and female</t>
        </is>
      </c>
      <c r="B44" s="101" t="inlineStr">
        <is>
          <t>IPP</t>
        </is>
      </c>
      <c r="C44" s="101" t="inlineStr">
        <is>
          <t>Failed to keep in touch</t>
        </is>
      </c>
      <c r="D44" s="102" t="n">
        <v>19</v>
      </c>
      <c r="E44" s="102" t="n">
        <v>26</v>
      </c>
      <c r="F44" s="102" t="n">
        <v>19</v>
      </c>
      <c r="G44" s="102" t="n">
        <v>13</v>
      </c>
      <c r="H44" s="102" t="n">
        <v>14</v>
      </c>
    </row>
    <row r="45">
      <c r="A45" s="101" t="inlineStr">
        <is>
          <t>Male and female</t>
        </is>
      </c>
      <c r="B45" s="101" t="inlineStr">
        <is>
          <t>IPP</t>
        </is>
      </c>
      <c r="C45" s="101" t="inlineStr">
        <is>
          <t>Failed to reside</t>
        </is>
      </c>
      <c r="D45" s="102" t="n">
        <v>36</v>
      </c>
      <c r="E45" s="102" t="n">
        <v>37</v>
      </c>
      <c r="F45" s="102" t="n">
        <v>36</v>
      </c>
      <c r="G45" s="102" t="n">
        <v>29</v>
      </c>
      <c r="H45" s="102" t="n">
        <v>34</v>
      </c>
    </row>
    <row r="46">
      <c r="A46" s="101" t="inlineStr">
        <is>
          <t>Male and female</t>
        </is>
      </c>
      <c r="B46" s="101" t="inlineStr">
        <is>
          <t>IPP</t>
        </is>
      </c>
      <c r="C46" s="101" t="inlineStr">
        <is>
          <t>Drugs/alcohol</t>
        </is>
      </c>
      <c r="D46" s="102" t="n">
        <v>19</v>
      </c>
      <c r="E46" s="102" t="n">
        <v>26</v>
      </c>
      <c r="F46" s="102" t="n">
        <v>28</v>
      </c>
      <c r="G46" s="102" t="n">
        <v>15</v>
      </c>
      <c r="H46" s="102" t="n">
        <v>19</v>
      </c>
    </row>
    <row r="47">
      <c r="A47" s="101" t="inlineStr">
        <is>
          <t>Male and female</t>
        </is>
      </c>
      <c r="B47" s="101" t="inlineStr">
        <is>
          <t>IPP</t>
        </is>
      </c>
      <c r="C47" s="101" t="inlineStr">
        <is>
          <t>Poor Behaviour - Relationships</t>
        </is>
      </c>
      <c r="D47" s="102" t="n">
        <v>13</v>
      </c>
      <c r="E47" s="102" t="n">
        <v>9</v>
      </c>
      <c r="F47" s="102" t="n">
        <v>13</v>
      </c>
      <c r="G47" s="102" t="n">
        <v>10</v>
      </c>
      <c r="H47" s="102" t="n">
        <v>11</v>
      </c>
    </row>
    <row r="48">
      <c r="A48" s="101" t="inlineStr">
        <is>
          <t>Male and female</t>
        </is>
      </c>
      <c r="B48" s="101" t="inlineStr">
        <is>
          <t>IPP</t>
        </is>
      </c>
      <c r="C48" s="101" t="inlineStr">
        <is>
          <t>HDC - Time violation</t>
        </is>
      </c>
      <c r="D48" s="102" t="n">
        <v>0</v>
      </c>
      <c r="E48" s="102" t="n">
        <v>0</v>
      </c>
      <c r="F48" s="102" t="n">
        <v>0</v>
      </c>
      <c r="G48" s="102" t="n">
        <v>0</v>
      </c>
      <c r="H48" s="102" t="n">
        <v>0</v>
      </c>
    </row>
    <row r="49">
      <c r="A49" s="101" t="inlineStr">
        <is>
          <t>Male and female</t>
        </is>
      </c>
      <c r="B49" s="101" t="inlineStr">
        <is>
          <t>IPP</t>
        </is>
      </c>
      <c r="C49" s="101" t="inlineStr">
        <is>
          <t>HDC - Inability to monitor</t>
        </is>
      </c>
      <c r="D49" s="102" t="n">
        <v>0</v>
      </c>
      <c r="E49" s="102" t="n">
        <v>0</v>
      </c>
      <c r="F49" s="102" t="n">
        <v>0</v>
      </c>
      <c r="G49" s="102" t="n">
        <v>0</v>
      </c>
      <c r="H49" s="102" t="n">
        <v>0</v>
      </c>
    </row>
    <row r="50">
      <c r="A50" s="101" t="inlineStr">
        <is>
          <t>Male and female</t>
        </is>
      </c>
      <c r="B50" s="101" t="inlineStr">
        <is>
          <t>IPP</t>
        </is>
      </c>
      <c r="C50" s="101" t="inlineStr">
        <is>
          <t>Failed home visit</t>
        </is>
      </c>
      <c r="D50" s="102" t="n">
        <v>1</v>
      </c>
      <c r="E50" s="102" t="n">
        <v>0</v>
      </c>
      <c r="F50" s="102" t="n">
        <v>3</v>
      </c>
      <c r="G50" s="102" t="n">
        <v>0</v>
      </c>
      <c r="H50" s="102" t="n">
        <v>1</v>
      </c>
    </row>
    <row r="51">
      <c r="A51" s="101" t="inlineStr">
        <is>
          <t>Male and female</t>
        </is>
      </c>
      <c r="B51" s="101" t="inlineStr">
        <is>
          <t>IPP</t>
        </is>
      </c>
      <c r="C51" s="101" t="inlineStr">
        <is>
          <t>HDC - Failed installation</t>
        </is>
      </c>
      <c r="D51" s="102" t="n">
        <v>0</v>
      </c>
      <c r="E51" s="102" t="n">
        <v>0</v>
      </c>
      <c r="F51" s="102" t="n">
        <v>0</v>
      </c>
      <c r="G51" s="102" t="n">
        <v>0</v>
      </c>
      <c r="H51" s="102" t="n">
        <v>0</v>
      </c>
    </row>
    <row r="52">
      <c r="A52" s="101" t="inlineStr">
        <is>
          <t>Male and female</t>
        </is>
      </c>
      <c r="B52" s="101" t="inlineStr">
        <is>
          <t>IPP</t>
        </is>
      </c>
      <c r="C52" s="101" t="inlineStr">
        <is>
          <t>HDC - Equipment Tamper</t>
        </is>
      </c>
      <c r="D52" s="102" t="n">
        <v>0</v>
      </c>
      <c r="E52" s="102" t="n">
        <v>0</v>
      </c>
      <c r="F52" s="102" t="n">
        <v>0</v>
      </c>
      <c r="G52" s="102" t="n">
        <v>0</v>
      </c>
      <c r="H52" s="102" t="n">
        <v>0</v>
      </c>
    </row>
    <row r="53">
      <c r="A53" s="101" t="inlineStr">
        <is>
          <t>Male and female</t>
        </is>
      </c>
      <c r="B53" s="101" t="inlineStr">
        <is>
          <t>IPP</t>
        </is>
      </c>
      <c r="C53" s="101" t="inlineStr">
        <is>
          <t>Other</t>
        </is>
      </c>
      <c r="D53" s="102" t="n">
        <v>29</v>
      </c>
      <c r="E53" s="102" t="n">
        <v>31</v>
      </c>
      <c r="F53" s="102" t="n">
        <v>26</v>
      </c>
      <c r="G53" s="102" t="n">
        <v>24</v>
      </c>
      <c r="H53" s="102" t="n">
        <v>27</v>
      </c>
    </row>
    <row r="54" ht="24.9" customHeight="1">
      <c r="A54" s="101" t="inlineStr">
        <is>
          <t>Male and female</t>
        </is>
      </c>
      <c r="B54" s="101" t="inlineStr">
        <is>
          <t>Life sentence</t>
        </is>
      </c>
      <c r="C54" s="101" t="inlineStr">
        <is>
          <t>Facing further charge</t>
        </is>
      </c>
      <c r="D54" s="102" t="n">
        <v>25</v>
      </c>
      <c r="E54" s="102" t="n">
        <v>38</v>
      </c>
      <c r="F54" s="102" t="n">
        <v>26</v>
      </c>
      <c r="G54" s="102" t="n">
        <v>20</v>
      </c>
      <c r="H54" s="102" t="n">
        <v>17</v>
      </c>
    </row>
    <row r="55">
      <c r="A55" s="101" t="inlineStr">
        <is>
          <t>Male and female</t>
        </is>
      </c>
      <c r="B55" s="101" t="inlineStr">
        <is>
          <t>Life sentence</t>
        </is>
      </c>
      <c r="C55" s="101" t="inlineStr">
        <is>
          <t>Non-compliance</t>
        </is>
      </c>
      <c r="D55" s="102" t="n">
        <v>85</v>
      </c>
      <c r="E55" s="102" t="n">
        <v>85</v>
      </c>
      <c r="F55" s="102" t="n">
        <v>75</v>
      </c>
      <c r="G55" s="102" t="n">
        <v>75</v>
      </c>
      <c r="H55" s="102" t="n">
        <v>58</v>
      </c>
    </row>
    <row r="56">
      <c r="A56" s="101" t="inlineStr">
        <is>
          <t>Male and female</t>
        </is>
      </c>
      <c r="B56" s="101" t="inlineStr">
        <is>
          <t>Life sentence</t>
        </is>
      </c>
      <c r="C56" s="101" t="inlineStr">
        <is>
          <t>Failed to keep in touch</t>
        </is>
      </c>
      <c r="D56" s="102" t="n">
        <v>12</v>
      </c>
      <c r="E56" s="102" t="n">
        <v>8</v>
      </c>
      <c r="F56" s="102" t="n">
        <v>7</v>
      </c>
      <c r="G56" s="102" t="n">
        <v>11</v>
      </c>
      <c r="H56" s="102" t="n">
        <v>2</v>
      </c>
    </row>
    <row r="57">
      <c r="A57" s="101" t="inlineStr">
        <is>
          <t>Male and female</t>
        </is>
      </c>
      <c r="B57" s="101" t="inlineStr">
        <is>
          <t>Life sentence</t>
        </is>
      </c>
      <c r="C57" s="101" t="inlineStr">
        <is>
          <t>Failed to reside</t>
        </is>
      </c>
      <c r="D57" s="102" t="n">
        <v>19</v>
      </c>
      <c r="E57" s="102" t="n">
        <v>11</v>
      </c>
      <c r="F57" s="102" t="n">
        <v>16</v>
      </c>
      <c r="G57" s="102" t="n">
        <v>11</v>
      </c>
      <c r="H57" s="102" t="n">
        <v>8</v>
      </c>
    </row>
    <row r="58">
      <c r="A58" s="101" t="inlineStr">
        <is>
          <t>Male and female</t>
        </is>
      </c>
      <c r="B58" s="101" t="inlineStr">
        <is>
          <t>Life sentence</t>
        </is>
      </c>
      <c r="C58" s="101" t="inlineStr">
        <is>
          <t>Drugs/alcohol</t>
        </is>
      </c>
      <c r="D58" s="102" t="n">
        <v>13</v>
      </c>
      <c r="E58" s="102" t="n">
        <v>16</v>
      </c>
      <c r="F58" s="102" t="n">
        <v>8</v>
      </c>
      <c r="G58" s="102" t="n">
        <v>7</v>
      </c>
      <c r="H58" s="102" t="n">
        <v>8</v>
      </c>
    </row>
    <row r="59">
      <c r="A59" s="101" t="inlineStr">
        <is>
          <t>Male and female</t>
        </is>
      </c>
      <c r="B59" s="101" t="inlineStr">
        <is>
          <t>Life sentence</t>
        </is>
      </c>
      <c r="C59" s="101" t="inlineStr">
        <is>
          <t>Poor Behaviour - Relationships</t>
        </is>
      </c>
      <c r="D59" s="102" t="n">
        <v>8</v>
      </c>
      <c r="E59" s="102" t="n">
        <v>8</v>
      </c>
      <c r="F59" s="102" t="n">
        <v>7</v>
      </c>
      <c r="G59" s="102" t="n">
        <v>5</v>
      </c>
      <c r="H59" s="102" t="n">
        <v>4</v>
      </c>
    </row>
    <row r="60">
      <c r="A60" s="101" t="inlineStr">
        <is>
          <t>Male and female</t>
        </is>
      </c>
      <c r="B60" s="101" t="inlineStr">
        <is>
          <t>Life sentence</t>
        </is>
      </c>
      <c r="C60" s="101" t="inlineStr">
        <is>
          <t>HDC - Time violation</t>
        </is>
      </c>
      <c r="D60" s="102" t="n">
        <v>0</v>
      </c>
      <c r="E60" s="102" t="n">
        <v>0</v>
      </c>
      <c r="F60" s="102" t="n">
        <v>0</v>
      </c>
      <c r="G60" s="102" t="n">
        <v>0</v>
      </c>
      <c r="H60" s="102" t="n">
        <v>0</v>
      </c>
    </row>
    <row r="61">
      <c r="A61" s="101" t="inlineStr">
        <is>
          <t>Male and female</t>
        </is>
      </c>
      <c r="B61" s="101" t="inlineStr">
        <is>
          <t>Life sentence</t>
        </is>
      </c>
      <c r="C61" s="101" t="inlineStr">
        <is>
          <t>HDC - Inability to monitor</t>
        </is>
      </c>
      <c r="D61" s="102" t="n">
        <v>0</v>
      </c>
      <c r="E61" s="102" t="n">
        <v>0</v>
      </c>
      <c r="F61" s="102" t="n">
        <v>0</v>
      </c>
      <c r="G61" s="102" t="n">
        <v>0</v>
      </c>
      <c r="H61" s="102" t="n">
        <v>0</v>
      </c>
    </row>
    <row r="62">
      <c r="A62" s="101" t="inlineStr">
        <is>
          <t>Male and female</t>
        </is>
      </c>
      <c r="B62" s="101" t="inlineStr">
        <is>
          <t>Life sentence</t>
        </is>
      </c>
      <c r="C62" s="101" t="inlineStr">
        <is>
          <t>Failed home visit</t>
        </is>
      </c>
      <c r="D62" s="102" t="n">
        <v>0</v>
      </c>
      <c r="E62" s="102" t="n">
        <v>0</v>
      </c>
      <c r="F62" s="102" t="n">
        <v>0</v>
      </c>
      <c r="G62" s="102" t="n">
        <v>3</v>
      </c>
      <c r="H62" s="102" t="n">
        <v>0</v>
      </c>
    </row>
    <row r="63">
      <c r="A63" s="101" t="inlineStr">
        <is>
          <t>Male and female</t>
        </is>
      </c>
      <c r="B63" s="101" t="inlineStr">
        <is>
          <t>Life sentence</t>
        </is>
      </c>
      <c r="C63" s="101" t="inlineStr">
        <is>
          <t>HDC - Failed installation</t>
        </is>
      </c>
      <c r="D63" s="102" t="n">
        <v>0</v>
      </c>
      <c r="E63" s="102" t="n">
        <v>0</v>
      </c>
      <c r="F63" s="102" t="n">
        <v>0</v>
      </c>
      <c r="G63" s="102" t="n">
        <v>0</v>
      </c>
      <c r="H63" s="102" t="n">
        <v>0</v>
      </c>
    </row>
    <row r="64">
      <c r="A64" s="101" t="inlineStr">
        <is>
          <t>Male and female</t>
        </is>
      </c>
      <c r="B64" s="101" t="inlineStr">
        <is>
          <t>Life sentence</t>
        </is>
      </c>
      <c r="C64" s="101" t="inlineStr">
        <is>
          <t>HDC - Equipment Tamper</t>
        </is>
      </c>
      <c r="D64" s="102" t="n">
        <v>0</v>
      </c>
      <c r="E64" s="102" t="n">
        <v>0</v>
      </c>
      <c r="F64" s="102" t="n">
        <v>0</v>
      </c>
      <c r="G64" s="102" t="n">
        <v>0</v>
      </c>
      <c r="H64" s="102" t="n">
        <v>0</v>
      </c>
    </row>
    <row r="65">
      <c r="A65" s="101" t="inlineStr">
        <is>
          <t>Male and female</t>
        </is>
      </c>
      <c r="B65" s="101" t="inlineStr">
        <is>
          <t>Life sentence</t>
        </is>
      </c>
      <c r="C65" s="101" t="inlineStr">
        <is>
          <t>Other</t>
        </is>
      </c>
      <c r="D65" s="102" t="n">
        <v>21</v>
      </c>
      <c r="E65" s="102" t="n">
        <v>16</v>
      </c>
      <c r="F65" s="102" t="n">
        <v>17</v>
      </c>
      <c r="G65" s="102" t="n">
        <v>14</v>
      </c>
      <c r="H65" s="102" t="n">
        <v>14</v>
      </c>
    </row>
    <row r="66" ht="24.9" customHeight="1">
      <c r="A66" s="101" t="inlineStr">
        <is>
          <t>Male</t>
        </is>
      </c>
      <c r="B66" s="101" t="inlineStr">
        <is>
          <t>All sentence types</t>
        </is>
      </c>
      <c r="C66" s="101" t="inlineStr">
        <is>
          <t>Facing further charge</t>
        </is>
      </c>
      <c r="D66" s="102" t="n">
        <v>1885</v>
      </c>
      <c r="E66" s="102" t="n">
        <v>1781</v>
      </c>
      <c r="F66" s="102" t="n">
        <v>1736</v>
      </c>
      <c r="G66" s="102" t="n">
        <v>1737</v>
      </c>
      <c r="H66" s="102" t="n">
        <v>1849</v>
      </c>
    </row>
    <row r="67">
      <c r="A67" s="101" t="inlineStr">
        <is>
          <t>Male</t>
        </is>
      </c>
      <c r="B67" s="101" t="inlineStr">
        <is>
          <t>All sentence types</t>
        </is>
      </c>
      <c r="C67" s="101" t="inlineStr">
        <is>
          <t>Non-compliance</t>
        </is>
      </c>
      <c r="D67" s="102" t="n">
        <v>4742</v>
      </c>
      <c r="E67" s="102" t="n">
        <v>4722</v>
      </c>
      <c r="F67" s="102" t="n">
        <v>4987</v>
      </c>
      <c r="G67" s="102" t="n">
        <v>5071</v>
      </c>
      <c r="H67" s="102" t="n">
        <v>5398</v>
      </c>
    </row>
    <row r="68">
      <c r="A68" s="101" t="inlineStr">
        <is>
          <t>Male</t>
        </is>
      </c>
      <c r="B68" s="101" t="inlineStr">
        <is>
          <t>All sentence types</t>
        </is>
      </c>
      <c r="C68" s="101" t="inlineStr">
        <is>
          <t>Failed to keep in touch</t>
        </is>
      </c>
      <c r="D68" s="102" t="n">
        <v>1961</v>
      </c>
      <c r="E68" s="102" t="n">
        <v>1920</v>
      </c>
      <c r="F68" s="102" t="n">
        <v>2034</v>
      </c>
      <c r="G68" s="102" t="n">
        <v>2191</v>
      </c>
      <c r="H68" s="102" t="n">
        <v>2176</v>
      </c>
    </row>
    <row r="69">
      <c r="A69" s="101" t="inlineStr">
        <is>
          <t>Male</t>
        </is>
      </c>
      <c r="B69" s="101" t="inlineStr">
        <is>
          <t>All sentence types</t>
        </is>
      </c>
      <c r="C69" s="101" t="inlineStr">
        <is>
          <t>Failed to reside</t>
        </is>
      </c>
      <c r="D69" s="102" t="n">
        <v>1643</v>
      </c>
      <c r="E69" s="102" t="n">
        <v>1648</v>
      </c>
      <c r="F69" s="102" t="n">
        <v>1736</v>
      </c>
      <c r="G69" s="102" t="n">
        <v>1657</v>
      </c>
      <c r="H69" s="102" t="n">
        <v>1691</v>
      </c>
    </row>
    <row r="70">
      <c r="A70" s="101" t="inlineStr">
        <is>
          <t>Male</t>
        </is>
      </c>
      <c r="B70" s="101" t="inlineStr">
        <is>
          <t>All sentence types</t>
        </is>
      </c>
      <c r="C70" s="101" t="inlineStr">
        <is>
          <t>Drugs/alcohol</t>
        </is>
      </c>
      <c r="D70" s="102" t="n">
        <v>392</v>
      </c>
      <c r="E70" s="102" t="n">
        <v>454</v>
      </c>
      <c r="F70" s="102" t="n">
        <v>529</v>
      </c>
      <c r="G70" s="102" t="n">
        <v>430</v>
      </c>
      <c r="H70" s="102" t="n">
        <v>420</v>
      </c>
    </row>
    <row r="71">
      <c r="A71" s="101" t="inlineStr">
        <is>
          <t>Male</t>
        </is>
      </c>
      <c r="B71" s="101" t="inlineStr">
        <is>
          <t>All sentence types</t>
        </is>
      </c>
      <c r="C71" s="101" t="inlineStr">
        <is>
          <t>Poor Behaviour - Relationships</t>
        </is>
      </c>
      <c r="D71" s="102" t="n">
        <v>209</v>
      </c>
      <c r="E71" s="102" t="n">
        <v>211</v>
      </c>
      <c r="F71" s="102" t="n">
        <v>217</v>
      </c>
      <c r="G71" s="102" t="n">
        <v>197</v>
      </c>
      <c r="H71" s="102" t="n">
        <v>193</v>
      </c>
    </row>
    <row r="72">
      <c r="A72" s="101" t="inlineStr">
        <is>
          <t>Male</t>
        </is>
      </c>
      <c r="B72" s="101" t="inlineStr">
        <is>
          <t>All sentence types</t>
        </is>
      </c>
      <c r="C72" s="101" t="inlineStr">
        <is>
          <t>HDC - Time violation</t>
        </is>
      </c>
      <c r="D72" s="102" t="n">
        <v>110</v>
      </c>
      <c r="E72" s="102" t="n">
        <v>139</v>
      </c>
      <c r="F72" s="102" t="n">
        <v>130</v>
      </c>
      <c r="G72" s="102" t="n">
        <v>131</v>
      </c>
      <c r="H72" s="102" t="n">
        <v>150</v>
      </c>
    </row>
    <row r="73">
      <c r="A73" s="101" t="inlineStr">
        <is>
          <t>Male</t>
        </is>
      </c>
      <c r="B73" s="101" t="inlineStr">
        <is>
          <t>All sentence types</t>
        </is>
      </c>
      <c r="C73" s="101" t="inlineStr">
        <is>
          <t>HDC - Inability to monitor</t>
        </is>
      </c>
      <c r="D73" s="102" t="n">
        <v>58</v>
      </c>
      <c r="E73" s="102" t="n">
        <v>63</v>
      </c>
      <c r="F73" s="102" t="n">
        <v>72</v>
      </c>
      <c r="G73" s="102" t="n">
        <v>72</v>
      </c>
      <c r="H73" s="102" t="n">
        <v>67</v>
      </c>
    </row>
    <row r="74">
      <c r="A74" s="101" t="inlineStr">
        <is>
          <t>Male</t>
        </is>
      </c>
      <c r="B74" s="101" t="inlineStr">
        <is>
          <t>All sentence types</t>
        </is>
      </c>
      <c r="C74" s="101" t="inlineStr">
        <is>
          <t>Failed home visit</t>
        </is>
      </c>
      <c r="D74" s="102" t="n">
        <v>70</v>
      </c>
      <c r="E74" s="102" t="n">
        <v>62</v>
      </c>
      <c r="F74" s="102" t="n">
        <v>72</v>
      </c>
      <c r="G74" s="102" t="n">
        <v>87</v>
      </c>
      <c r="H74" s="102" t="n">
        <v>71</v>
      </c>
    </row>
    <row r="75">
      <c r="A75" s="101" t="inlineStr">
        <is>
          <t>Male</t>
        </is>
      </c>
      <c r="B75" s="101" t="inlineStr">
        <is>
          <t>All sentence types</t>
        </is>
      </c>
      <c r="C75" s="101" t="inlineStr">
        <is>
          <t>HDC - Failed installation</t>
        </is>
      </c>
      <c r="D75" s="102" t="n">
        <v>25</v>
      </c>
      <c r="E75" s="102" t="n">
        <v>25</v>
      </c>
      <c r="F75" s="102" t="n">
        <v>45</v>
      </c>
      <c r="G75" s="102" t="n">
        <v>55</v>
      </c>
      <c r="H75" s="102" t="n">
        <v>51</v>
      </c>
    </row>
    <row r="76">
      <c r="A76" s="101" t="inlineStr">
        <is>
          <t>Male</t>
        </is>
      </c>
      <c r="B76" s="101" t="inlineStr">
        <is>
          <t>All sentence types</t>
        </is>
      </c>
      <c r="C76" s="101" t="inlineStr">
        <is>
          <t>HDC - Equipment Tamper</t>
        </is>
      </c>
      <c r="D76" s="102" t="n">
        <v>2</v>
      </c>
      <c r="E76" s="102" t="n">
        <v>13</v>
      </c>
      <c r="F76" s="102" t="n">
        <v>10</v>
      </c>
      <c r="G76" s="102" t="n">
        <v>10</v>
      </c>
      <c r="H76" s="102" t="n">
        <v>9</v>
      </c>
    </row>
    <row r="77">
      <c r="A77" s="101" t="inlineStr">
        <is>
          <t>Male</t>
        </is>
      </c>
      <c r="B77" s="101" t="inlineStr">
        <is>
          <t>All sentence types</t>
        </is>
      </c>
      <c r="C77" s="101" t="inlineStr">
        <is>
          <t>Other</t>
        </is>
      </c>
      <c r="D77" s="102" t="n">
        <v>1227</v>
      </c>
      <c r="E77" s="102" t="n">
        <v>1248</v>
      </c>
      <c r="F77" s="102" t="n">
        <v>1216</v>
      </c>
      <c r="G77" s="102" t="n">
        <v>1243</v>
      </c>
      <c r="H77" s="102" t="n">
        <v>1385</v>
      </c>
    </row>
    <row r="78" ht="24.9" customHeight="1">
      <c r="A78" s="101" t="inlineStr">
        <is>
          <t>Female</t>
        </is>
      </c>
      <c r="B78" s="101" t="inlineStr">
        <is>
          <t>All sentence types</t>
        </is>
      </c>
      <c r="C78" s="101" t="inlineStr">
        <is>
          <t>Facing further charge</t>
        </is>
      </c>
      <c r="D78" s="102" t="n">
        <v>92</v>
      </c>
      <c r="E78" s="102" t="n">
        <v>102</v>
      </c>
      <c r="F78" s="102" t="n">
        <v>79</v>
      </c>
      <c r="G78" s="102" t="n">
        <v>98</v>
      </c>
      <c r="H78" s="102" t="n">
        <v>93</v>
      </c>
    </row>
    <row r="79">
      <c r="A79" s="101" t="inlineStr">
        <is>
          <t>Female</t>
        </is>
      </c>
      <c r="B79" s="101" t="inlineStr">
        <is>
          <t>All sentence types</t>
        </is>
      </c>
      <c r="C79" s="101" t="inlineStr">
        <is>
          <t>Non-compliance</t>
        </is>
      </c>
      <c r="D79" s="102" t="n">
        <v>305</v>
      </c>
      <c r="E79" s="102" t="n">
        <v>316</v>
      </c>
      <c r="F79" s="102" t="n">
        <v>389</v>
      </c>
      <c r="G79" s="102" t="n">
        <v>424</v>
      </c>
      <c r="H79" s="102" t="n">
        <v>410</v>
      </c>
    </row>
    <row r="80">
      <c r="A80" s="101" t="inlineStr">
        <is>
          <t>Female</t>
        </is>
      </c>
      <c r="B80" s="101" t="inlineStr">
        <is>
          <t>All sentence types</t>
        </is>
      </c>
      <c r="C80" s="101" t="inlineStr">
        <is>
          <t>Failed to keep in touch</t>
        </is>
      </c>
      <c r="D80" s="102" t="n">
        <v>179</v>
      </c>
      <c r="E80" s="102" t="n">
        <v>190</v>
      </c>
      <c r="F80" s="102" t="n">
        <v>252</v>
      </c>
      <c r="G80" s="102" t="n">
        <v>237</v>
      </c>
      <c r="H80" s="102" t="n">
        <v>250</v>
      </c>
    </row>
    <row r="81">
      <c r="A81" s="101" t="inlineStr">
        <is>
          <t>Female</t>
        </is>
      </c>
      <c r="B81" s="101" t="inlineStr">
        <is>
          <t>All sentence types</t>
        </is>
      </c>
      <c r="C81" s="101" t="inlineStr">
        <is>
          <t>Failed to reside</t>
        </is>
      </c>
      <c r="D81" s="102" t="n">
        <v>149</v>
      </c>
      <c r="E81" s="102" t="n">
        <v>162</v>
      </c>
      <c r="F81" s="102" t="n">
        <v>184</v>
      </c>
      <c r="G81" s="102" t="n">
        <v>179</v>
      </c>
      <c r="H81" s="102" t="n">
        <v>171</v>
      </c>
    </row>
    <row r="82">
      <c r="A82" s="101" t="inlineStr">
        <is>
          <t>Female</t>
        </is>
      </c>
      <c r="B82" s="101" t="inlineStr">
        <is>
          <t>All sentence types</t>
        </is>
      </c>
      <c r="C82" s="101" t="inlineStr">
        <is>
          <t>Drugs/alcohol</t>
        </is>
      </c>
      <c r="D82" s="102" t="n">
        <v>45</v>
      </c>
      <c r="E82" s="102" t="n">
        <v>35</v>
      </c>
      <c r="F82" s="102" t="n">
        <v>48</v>
      </c>
      <c r="G82" s="102" t="n">
        <v>51</v>
      </c>
      <c r="H82" s="102" t="n">
        <v>41</v>
      </c>
    </row>
    <row r="83">
      <c r="A83" s="101" t="inlineStr">
        <is>
          <t>Female</t>
        </is>
      </c>
      <c r="B83" s="101" t="inlineStr">
        <is>
          <t>All sentence types</t>
        </is>
      </c>
      <c r="C83" s="101" t="inlineStr">
        <is>
          <t>Poor Behaviour - Relationships</t>
        </is>
      </c>
      <c r="D83" s="102" t="n">
        <v>5</v>
      </c>
      <c r="E83" s="102" t="n">
        <v>1</v>
      </c>
      <c r="F83" s="102" t="n">
        <v>7</v>
      </c>
      <c r="G83" s="102" t="n">
        <v>1</v>
      </c>
      <c r="H83" s="102" t="n">
        <v>2</v>
      </c>
    </row>
    <row r="84">
      <c r="A84" s="101" t="inlineStr">
        <is>
          <t>Female</t>
        </is>
      </c>
      <c r="B84" s="101" t="inlineStr">
        <is>
          <t>All sentence types</t>
        </is>
      </c>
      <c r="C84" s="101" t="inlineStr">
        <is>
          <t>HDC - Time violation</t>
        </is>
      </c>
      <c r="D84" s="102" t="n">
        <v>21</v>
      </c>
      <c r="E84" s="102" t="n">
        <v>32</v>
      </c>
      <c r="F84" s="102" t="n">
        <v>21</v>
      </c>
      <c r="G84" s="102" t="n">
        <v>27</v>
      </c>
      <c r="H84" s="102" t="n">
        <v>40</v>
      </c>
    </row>
    <row r="85">
      <c r="A85" s="101" t="inlineStr">
        <is>
          <t>Female</t>
        </is>
      </c>
      <c r="B85" s="101" t="inlineStr">
        <is>
          <t>All sentence types</t>
        </is>
      </c>
      <c r="C85" s="101" t="inlineStr">
        <is>
          <t>HDC - Inability to monitor</t>
        </is>
      </c>
      <c r="D85" s="102" t="n">
        <v>17</v>
      </c>
      <c r="E85" s="102" t="n">
        <v>8</v>
      </c>
      <c r="F85" s="102" t="n">
        <v>9</v>
      </c>
      <c r="G85" s="102" t="n">
        <v>12</v>
      </c>
      <c r="H85" s="102" t="n">
        <v>15</v>
      </c>
    </row>
    <row r="86">
      <c r="A86" s="101" t="inlineStr">
        <is>
          <t>Female</t>
        </is>
      </c>
      <c r="B86" s="101" t="inlineStr">
        <is>
          <t>All sentence types</t>
        </is>
      </c>
      <c r="C86" s="101" t="inlineStr">
        <is>
          <t>Failed home visit</t>
        </is>
      </c>
      <c r="D86" s="102" t="n">
        <v>8</v>
      </c>
      <c r="E86" s="102" t="n">
        <v>11</v>
      </c>
      <c r="F86" s="102" t="n">
        <v>14</v>
      </c>
      <c r="G86" s="102" t="n">
        <v>12</v>
      </c>
      <c r="H86" s="102" t="n">
        <v>6</v>
      </c>
    </row>
    <row r="87">
      <c r="A87" s="101" t="inlineStr">
        <is>
          <t>Female</t>
        </is>
      </c>
      <c r="B87" s="101" t="inlineStr">
        <is>
          <t>All sentence types</t>
        </is>
      </c>
      <c r="C87" s="101" t="inlineStr">
        <is>
          <t>HDC - Failed installation</t>
        </is>
      </c>
      <c r="D87" s="102" t="n">
        <v>4</v>
      </c>
      <c r="E87" s="102" t="n">
        <v>5</v>
      </c>
      <c r="F87" s="102" t="n">
        <v>6</v>
      </c>
      <c r="G87" s="102" t="n">
        <v>11</v>
      </c>
      <c r="H87" s="102" t="n">
        <v>8</v>
      </c>
    </row>
    <row r="88">
      <c r="A88" s="101" t="inlineStr">
        <is>
          <t>Female</t>
        </is>
      </c>
      <c r="B88" s="101" t="inlineStr">
        <is>
          <t>All sentence types</t>
        </is>
      </c>
      <c r="C88" s="101" t="inlineStr">
        <is>
          <t>HDC - Equipment Tamper</t>
        </is>
      </c>
      <c r="D88" s="102" t="n">
        <v>0</v>
      </c>
      <c r="E88" s="102" t="n">
        <v>2</v>
      </c>
      <c r="F88" s="102" t="n">
        <v>1</v>
      </c>
      <c r="G88" s="102" t="n">
        <v>2</v>
      </c>
      <c r="H88" s="102" t="n">
        <v>1</v>
      </c>
    </row>
    <row r="89">
      <c r="A89" s="101" t="inlineStr">
        <is>
          <t>Female</t>
        </is>
      </c>
      <c r="B89" s="101" t="inlineStr">
        <is>
          <t>All sentence types</t>
        </is>
      </c>
      <c r="C89" s="101" t="inlineStr">
        <is>
          <t>Other</t>
        </is>
      </c>
      <c r="D89" s="102" t="n">
        <v>72</v>
      </c>
      <c r="E89" s="102" t="n">
        <v>56</v>
      </c>
      <c r="F89" s="102" t="n">
        <v>80</v>
      </c>
      <c r="G89" s="102" t="n">
        <v>90</v>
      </c>
      <c r="H89" s="102" t="n">
        <v>82</v>
      </c>
    </row>
  </sheetData>
  <hyperlinks>
    <hyperlink xmlns:r="http://schemas.openxmlformats.org/officeDocument/2006/relationships" ref="A3"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8" customWidth="1" min="1" max="1"/>
    <col width="35" customWidth="1" min="2" max="2"/>
    <col width="20" customWidth="1" min="3" max="3"/>
    <col width="20" customWidth="1" min="4" max="4"/>
    <col width="20" customWidth="1" min="5" max="5"/>
    <col width="20" customWidth="1" min="6" max="6"/>
    <col width="20" customWidth="1" min="7" max="7"/>
    <col width="9" customWidth="1" min="8" max="8"/>
  </cols>
  <sheetData>
    <row r="1">
      <c r="A1" s="64" t="inlineStr">
        <is>
          <t>Table 11: number of recall re-releases and mean time recalled (indeterminate-sentence offenders),England and Wales</t>
        </is>
      </c>
    </row>
    <row r="2">
      <c r="A2" s="65" t="inlineStr">
        <is>
          <t>This worksheet contains one table.</t>
        </is>
      </c>
    </row>
    <row r="3">
      <c r="A3" s="66" t="inlineStr">
        <is>
          <t>Link to Contents tab</t>
        </is>
      </c>
    </row>
    <row r="4">
      <c r="A4" s="65" t="inlineStr">
        <is>
          <t>Source: Public Protection Unit Database (PPUD)</t>
        </is>
      </c>
    </row>
    <row r="5" ht="46.8" customHeight="1">
      <c r="A5" s="103" t="inlineStr">
        <is>
          <t>Sentence type</t>
        </is>
      </c>
      <c r="B5" s="103" t="inlineStr">
        <is>
          <t>Statistic</t>
        </is>
      </c>
      <c r="C5" s="104" t="inlineStr">
        <is>
          <t>Jan to Mar 2023</t>
        </is>
      </c>
      <c r="D5" s="104" t="inlineStr">
        <is>
          <t>Apr to Jun 2023</t>
        </is>
      </c>
      <c r="E5" s="104" t="inlineStr">
        <is>
          <t>Jul to Sep 2023</t>
        </is>
      </c>
      <c r="F5" s="104" t="inlineStr">
        <is>
          <t>Oct to Dec 2023</t>
        </is>
      </c>
      <c r="G5" s="104" t="inlineStr">
        <is>
          <t>Jan to Mar 2024</t>
        </is>
      </c>
      <c r="H5" s="105" t="n"/>
    </row>
    <row r="6" ht="24.9" customHeight="1">
      <c r="A6" s="106" t="inlineStr">
        <is>
          <t>IPP</t>
        </is>
      </c>
      <c r="B6" s="106" t="inlineStr">
        <is>
          <t>Number of releases</t>
        </is>
      </c>
      <c r="C6" s="107" t="n">
        <v>95</v>
      </c>
      <c r="D6" s="107" t="n">
        <v>107</v>
      </c>
      <c r="E6" s="107" t="n">
        <v>100</v>
      </c>
      <c r="F6" s="107" t="n">
        <v>146</v>
      </c>
      <c r="G6" s="107" t="n">
        <v>135</v>
      </c>
    </row>
    <row r="7">
      <c r="A7" s="106" t="inlineStr">
        <is>
          <t>IPP</t>
        </is>
      </c>
      <c r="B7" s="106" t="inlineStr">
        <is>
          <t>Average time recalled (months)</t>
        </is>
      </c>
      <c r="C7" s="107" t="n">
        <v>26</v>
      </c>
      <c r="D7" s="107" t="n">
        <v>27</v>
      </c>
      <c r="E7" s="107" t="n">
        <v>28</v>
      </c>
      <c r="F7" s="107" t="n">
        <v>27</v>
      </c>
      <c r="G7" s="107" t="n">
        <v>28</v>
      </c>
    </row>
    <row r="8" ht="24.9" customHeight="1">
      <c r="A8" s="106" t="inlineStr">
        <is>
          <t>Life sentence</t>
        </is>
      </c>
      <c r="B8" s="106" t="inlineStr">
        <is>
          <t>Number of releases</t>
        </is>
      </c>
      <c r="C8" s="107" t="n">
        <v>55</v>
      </c>
      <c r="D8" s="107" t="n">
        <v>55</v>
      </c>
      <c r="E8" s="107" t="n">
        <v>50</v>
      </c>
      <c r="F8" s="107" t="n">
        <v>58</v>
      </c>
      <c r="G8" s="107" t="n">
        <v>86</v>
      </c>
    </row>
    <row r="9">
      <c r="A9" s="106" t="inlineStr">
        <is>
          <t>Life sentence</t>
        </is>
      </c>
      <c r="B9" s="106" t="inlineStr">
        <is>
          <t>Average time recalled (months)</t>
        </is>
      </c>
      <c r="C9" s="107" t="n">
        <v>30</v>
      </c>
      <c r="D9" s="107" t="n">
        <v>32</v>
      </c>
      <c r="E9" s="107" t="n">
        <v>29</v>
      </c>
      <c r="F9" s="107" t="n">
        <v>23</v>
      </c>
      <c r="G9" s="107" t="n">
        <v>25</v>
      </c>
    </row>
  </sheetData>
  <hyperlinks>
    <hyperlink xmlns:r="http://schemas.openxmlformats.org/officeDocument/2006/relationships" ref="A3"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20" customWidth="1" min="1" max="1"/>
    <col width="36" customWidth="1" min="2" max="2"/>
    <col width="27" customWidth="1" min="3" max="3"/>
    <col width="20" customWidth="1" min="4" max="4"/>
    <col width="20" customWidth="1" min="5" max="5"/>
    <col width="20" customWidth="1" min="6" max="6"/>
    <col width="20" customWidth="1" min="7" max="7"/>
    <col width="20" customWidth="1" min="8" max="8"/>
  </cols>
  <sheetData>
    <row r="1">
      <c r="A1" s="64" t="inlineStr">
        <is>
          <t>Table 12: number of recalls, by sex, sentence, supervising body and ethnicity, England and Wales [note 2]</t>
        </is>
      </c>
    </row>
    <row r="2">
      <c r="A2" s="65" t="inlineStr">
        <is>
          <t>This worksheet contains one table.</t>
        </is>
      </c>
    </row>
    <row r="3">
      <c r="A3" s="66" t="inlineStr">
        <is>
          <t>Link to Contents tab</t>
        </is>
      </c>
    </row>
    <row r="4">
      <c r="A4" s="65" t="inlineStr">
        <is>
          <t>Source: Public Protection Unit Database (PPUD)</t>
        </is>
      </c>
    </row>
    <row r="5" ht="46.8" customHeight="1">
      <c r="A5" s="108" t="inlineStr">
        <is>
          <t>Sex</t>
        </is>
      </c>
      <c r="B5" s="108" t="inlineStr">
        <is>
          <t>Sentence type</t>
        </is>
      </c>
      <c r="C5" s="108" t="inlineStr">
        <is>
          <t>Ethnicity</t>
        </is>
      </c>
      <c r="D5" s="109" t="inlineStr">
        <is>
          <t>Jan to Mar 2023</t>
        </is>
      </c>
      <c r="E5" s="109" t="inlineStr">
        <is>
          <t>Apr to Jun 2023</t>
        </is>
      </c>
      <c r="F5" s="109" t="inlineStr">
        <is>
          <t>Jul to Sep 2023</t>
        </is>
      </c>
      <c r="G5" s="109" t="inlineStr">
        <is>
          <t>Oct to Dec 2023</t>
        </is>
      </c>
      <c r="H5" s="109" t="inlineStr">
        <is>
          <t>Jan to Mar 2024</t>
        </is>
      </c>
    </row>
    <row r="6" ht="24.9" customHeight="1">
      <c r="A6" s="110" t="inlineStr">
        <is>
          <t>Male and female</t>
        </is>
      </c>
      <c r="B6" s="110" t="inlineStr">
        <is>
          <t>All sentence types</t>
        </is>
      </c>
      <c r="C6" s="110" t="inlineStr">
        <is>
          <t>All ethnicities</t>
        </is>
      </c>
      <c r="D6" s="111" t="n">
        <v>6824</v>
      </c>
      <c r="E6" s="111" t="n">
        <v>6814</v>
      </c>
      <c r="F6" s="111" t="n">
        <v>7030</v>
      </c>
      <c r="G6" s="111" t="n">
        <v>7152</v>
      </c>
      <c r="H6" s="111" t="n">
        <v>7415</v>
      </c>
    </row>
    <row r="7">
      <c r="A7" s="110" t="inlineStr">
        <is>
          <t>Male and female</t>
        </is>
      </c>
      <c r="B7" s="110" t="inlineStr">
        <is>
          <t>All sentence types</t>
        </is>
      </c>
      <c r="C7" s="110" t="inlineStr">
        <is>
          <t>Asian or Asian British</t>
        </is>
      </c>
      <c r="D7" s="111" t="n">
        <v>310</v>
      </c>
      <c r="E7" s="111" t="n">
        <v>299</v>
      </c>
      <c r="F7" s="111" t="n">
        <v>311</v>
      </c>
      <c r="G7" s="111" t="n">
        <v>329</v>
      </c>
      <c r="H7" s="111" t="n">
        <v>352</v>
      </c>
    </row>
    <row r="8">
      <c r="A8" s="110" t="inlineStr">
        <is>
          <t>Male and female</t>
        </is>
      </c>
      <c r="B8" s="110" t="inlineStr">
        <is>
          <t>All sentence types</t>
        </is>
      </c>
      <c r="C8" s="110" t="inlineStr">
        <is>
          <t>Black or Black British</t>
        </is>
      </c>
      <c r="D8" s="111" t="n">
        <v>568</v>
      </c>
      <c r="E8" s="111" t="n">
        <v>536</v>
      </c>
      <c r="F8" s="111" t="n">
        <v>554</v>
      </c>
      <c r="G8" s="111" t="n">
        <v>547</v>
      </c>
      <c r="H8" s="111" t="n">
        <v>590</v>
      </c>
    </row>
    <row r="9">
      <c r="A9" s="110" t="inlineStr">
        <is>
          <t>Male and female</t>
        </is>
      </c>
      <c r="B9" s="110" t="inlineStr">
        <is>
          <t>All sentence types</t>
        </is>
      </c>
      <c r="C9" s="110" t="inlineStr">
        <is>
          <t>Mixed</t>
        </is>
      </c>
      <c r="D9" s="111" t="n">
        <v>280</v>
      </c>
      <c r="E9" s="111" t="n">
        <v>255</v>
      </c>
      <c r="F9" s="111" t="n">
        <v>278</v>
      </c>
      <c r="G9" s="111" t="n">
        <v>283</v>
      </c>
      <c r="H9" s="111" t="n">
        <v>251</v>
      </c>
    </row>
    <row r="10">
      <c r="A10" s="110" t="inlineStr">
        <is>
          <t>Male and female</t>
        </is>
      </c>
      <c r="B10" s="110" t="inlineStr">
        <is>
          <t>All sentence types</t>
        </is>
      </c>
      <c r="C10" s="110" t="inlineStr">
        <is>
          <t>White</t>
        </is>
      </c>
      <c r="D10" s="111" t="n">
        <v>5588</v>
      </c>
      <c r="E10" s="111" t="n">
        <v>5652</v>
      </c>
      <c r="F10" s="111" t="n">
        <v>5821</v>
      </c>
      <c r="G10" s="111" t="n">
        <v>5902</v>
      </c>
      <c r="H10" s="111" t="n">
        <v>6133</v>
      </c>
    </row>
    <row r="11">
      <c r="A11" s="110" t="inlineStr">
        <is>
          <t>Male and female</t>
        </is>
      </c>
      <c r="B11" s="110" t="inlineStr">
        <is>
          <t>All sentence types</t>
        </is>
      </c>
      <c r="C11" s="110" t="inlineStr">
        <is>
          <t>Other ethnic group</t>
        </is>
      </c>
      <c r="D11" s="111" t="n">
        <v>72</v>
      </c>
      <c r="E11" s="111" t="n">
        <v>62</v>
      </c>
      <c r="F11" s="111" t="n">
        <v>59</v>
      </c>
      <c r="G11" s="111" t="n">
        <v>83</v>
      </c>
      <c r="H11" s="111" t="n">
        <v>78</v>
      </c>
    </row>
    <row r="12">
      <c r="A12" s="110" t="inlineStr">
        <is>
          <t>Male and female</t>
        </is>
      </c>
      <c r="B12" s="110" t="inlineStr">
        <is>
          <t>All sentence types</t>
        </is>
      </c>
      <c r="C12" s="110" t="inlineStr">
        <is>
          <t>Not stated</t>
        </is>
      </c>
      <c r="D12" s="111" t="n">
        <v>6</v>
      </c>
      <c r="E12" s="111" t="n">
        <v>10</v>
      </c>
      <c r="F12" s="111" t="n">
        <v>7</v>
      </c>
      <c r="G12" s="111" t="n">
        <v>8</v>
      </c>
      <c r="H12" s="111" t="n">
        <v>11</v>
      </c>
    </row>
    <row r="13" ht="24.9" customHeight="1">
      <c r="A13" s="110" t="inlineStr">
        <is>
          <t>Male and female</t>
        </is>
      </c>
      <c r="B13" s="110" t="inlineStr">
        <is>
          <t>Determinate less than 12 months</t>
        </is>
      </c>
      <c r="C13" s="110" t="inlineStr">
        <is>
          <t>All ethnicities</t>
        </is>
      </c>
      <c r="D13" s="111" t="n">
        <v>2691</v>
      </c>
      <c r="E13" s="111" t="n">
        <v>2733</v>
      </c>
      <c r="F13" s="111" t="n">
        <v>2881</v>
      </c>
      <c r="G13" s="111" t="n">
        <v>3025</v>
      </c>
      <c r="H13" s="111" t="n">
        <v>3218</v>
      </c>
    </row>
    <row r="14">
      <c r="A14" s="110" t="inlineStr">
        <is>
          <t>Male and female</t>
        </is>
      </c>
      <c r="B14" s="110" t="inlineStr">
        <is>
          <t>Determinate less than 12 months</t>
        </is>
      </c>
      <c r="C14" s="110" t="inlineStr">
        <is>
          <t>Asian or Asian British</t>
        </is>
      </c>
      <c r="D14" s="111" t="n">
        <v>102</v>
      </c>
      <c r="E14" s="111" t="n">
        <v>89</v>
      </c>
      <c r="F14" s="111" t="n">
        <v>104</v>
      </c>
      <c r="G14" s="111" t="n">
        <v>118</v>
      </c>
      <c r="H14" s="111" t="n">
        <v>127</v>
      </c>
    </row>
    <row r="15">
      <c r="A15" s="110" t="inlineStr">
        <is>
          <t>Male and female</t>
        </is>
      </c>
      <c r="B15" s="110" t="inlineStr">
        <is>
          <t>Determinate less than 12 months</t>
        </is>
      </c>
      <c r="C15" s="110" t="inlineStr">
        <is>
          <t>Black or Black British</t>
        </is>
      </c>
      <c r="D15" s="111" t="n">
        <v>142</v>
      </c>
      <c r="E15" s="111" t="n">
        <v>159</v>
      </c>
      <c r="F15" s="111" t="n">
        <v>161</v>
      </c>
      <c r="G15" s="111" t="n">
        <v>166</v>
      </c>
      <c r="H15" s="111" t="n">
        <v>167</v>
      </c>
    </row>
    <row r="16">
      <c r="A16" s="110" t="inlineStr">
        <is>
          <t>Male and female</t>
        </is>
      </c>
      <c r="B16" s="110" t="inlineStr">
        <is>
          <t>Determinate less than 12 months</t>
        </is>
      </c>
      <c r="C16" s="110" t="inlineStr">
        <is>
          <t>Mixed</t>
        </is>
      </c>
      <c r="D16" s="111" t="n">
        <v>88</v>
      </c>
      <c r="E16" s="111" t="n">
        <v>76</v>
      </c>
      <c r="F16" s="111" t="n">
        <v>85</v>
      </c>
      <c r="G16" s="111" t="n">
        <v>92</v>
      </c>
      <c r="H16" s="111" t="n">
        <v>79</v>
      </c>
    </row>
    <row r="17">
      <c r="A17" s="110" t="inlineStr">
        <is>
          <t>Male and female</t>
        </is>
      </c>
      <c r="B17" s="110" t="inlineStr">
        <is>
          <t>Determinate less than 12 months</t>
        </is>
      </c>
      <c r="C17" s="110" t="inlineStr">
        <is>
          <t>White</t>
        </is>
      </c>
      <c r="D17" s="111" t="n">
        <v>2318</v>
      </c>
      <c r="E17" s="111" t="n">
        <v>2375</v>
      </c>
      <c r="F17" s="111" t="n">
        <v>2506</v>
      </c>
      <c r="G17" s="111" t="n">
        <v>2603</v>
      </c>
      <c r="H17" s="111" t="n">
        <v>2800</v>
      </c>
    </row>
    <row r="18">
      <c r="A18" s="110" t="inlineStr">
        <is>
          <t>Male and female</t>
        </is>
      </c>
      <c r="B18" s="110" t="inlineStr">
        <is>
          <t>Determinate less than 12 months</t>
        </is>
      </c>
      <c r="C18" s="110" t="inlineStr">
        <is>
          <t>Other ethnic group</t>
        </is>
      </c>
      <c r="D18" s="111" t="n">
        <v>41</v>
      </c>
      <c r="E18" s="111" t="n">
        <v>33</v>
      </c>
      <c r="F18" s="111" t="n">
        <v>24</v>
      </c>
      <c r="G18" s="111" t="n">
        <v>45</v>
      </c>
      <c r="H18" s="111" t="n">
        <v>42</v>
      </c>
    </row>
    <row r="19">
      <c r="A19" s="110" t="inlineStr">
        <is>
          <t>Male and female</t>
        </is>
      </c>
      <c r="B19" s="110" t="inlineStr">
        <is>
          <t>Determinate less than 12 months</t>
        </is>
      </c>
      <c r="C19" s="110" t="inlineStr">
        <is>
          <t>Not stated</t>
        </is>
      </c>
      <c r="D19" s="111" t="n">
        <v>0</v>
      </c>
      <c r="E19" s="111" t="n">
        <v>1</v>
      </c>
      <c r="F19" s="111" t="n">
        <v>1</v>
      </c>
      <c r="G19" s="111" t="n">
        <v>1</v>
      </c>
      <c r="H19" s="111" t="n">
        <v>3</v>
      </c>
    </row>
    <row r="20" ht="24.9" customHeight="1">
      <c r="A20" s="110" t="inlineStr">
        <is>
          <t>Male and female</t>
        </is>
      </c>
      <c r="B20" s="110" t="inlineStr">
        <is>
          <t>Determinate 12 months or more</t>
        </is>
      </c>
      <c r="C20" s="110" t="inlineStr">
        <is>
          <t>All ethnicities</t>
        </is>
      </c>
      <c r="D20" s="111" t="n">
        <v>3849</v>
      </c>
      <c r="E20" s="111" t="n">
        <v>3810</v>
      </c>
      <c r="F20" s="111" t="n">
        <v>3891</v>
      </c>
      <c r="G20" s="111" t="n">
        <v>3908</v>
      </c>
      <c r="H20" s="111" t="n">
        <v>3986</v>
      </c>
    </row>
    <row r="21">
      <c r="A21" s="110" t="inlineStr">
        <is>
          <t>Male and female</t>
        </is>
      </c>
      <c r="B21" s="110" t="inlineStr">
        <is>
          <t>Determinate 12 months or more</t>
        </is>
      </c>
      <c r="C21" s="110" t="inlineStr">
        <is>
          <t>Asian or Asian British</t>
        </is>
      </c>
      <c r="D21" s="111" t="n">
        <v>199</v>
      </c>
      <c r="E21" s="111" t="n">
        <v>203</v>
      </c>
      <c r="F21" s="111" t="n">
        <v>197</v>
      </c>
      <c r="G21" s="111" t="n">
        <v>206</v>
      </c>
      <c r="H21" s="111" t="n">
        <v>215</v>
      </c>
    </row>
    <row r="22">
      <c r="A22" s="110" t="inlineStr">
        <is>
          <t>Male and female</t>
        </is>
      </c>
      <c r="B22" s="110" t="inlineStr">
        <is>
          <t>Determinate 12 months or more</t>
        </is>
      </c>
      <c r="C22" s="110" t="inlineStr">
        <is>
          <t>Black or Black British</t>
        </is>
      </c>
      <c r="D22" s="111" t="n">
        <v>382</v>
      </c>
      <c r="E22" s="111" t="n">
        <v>346</v>
      </c>
      <c r="F22" s="111" t="n">
        <v>362</v>
      </c>
      <c r="G22" s="111" t="n">
        <v>352</v>
      </c>
      <c r="H22" s="111" t="n">
        <v>399</v>
      </c>
    </row>
    <row r="23">
      <c r="A23" s="110" t="inlineStr">
        <is>
          <t>Male and female</t>
        </is>
      </c>
      <c r="B23" s="110" t="inlineStr">
        <is>
          <t>Determinate 12 months or more</t>
        </is>
      </c>
      <c r="C23" s="110" t="inlineStr">
        <is>
          <t>Mixed</t>
        </is>
      </c>
      <c r="D23" s="111" t="n">
        <v>184</v>
      </c>
      <c r="E23" s="111" t="n">
        <v>168</v>
      </c>
      <c r="F23" s="111" t="n">
        <v>183</v>
      </c>
      <c r="G23" s="111" t="n">
        <v>180</v>
      </c>
      <c r="H23" s="111" t="n">
        <v>166</v>
      </c>
    </row>
    <row r="24">
      <c r="A24" s="110" t="inlineStr">
        <is>
          <t>Male and female</t>
        </is>
      </c>
      <c r="B24" s="110" t="inlineStr">
        <is>
          <t>Determinate 12 months or more</t>
        </is>
      </c>
      <c r="C24" s="110" t="inlineStr">
        <is>
          <t>White</t>
        </is>
      </c>
      <c r="D24" s="111" t="n">
        <v>3049</v>
      </c>
      <c r="E24" s="111" t="n">
        <v>3058</v>
      </c>
      <c r="F24" s="111" t="n">
        <v>3110</v>
      </c>
      <c r="G24" s="111" t="n">
        <v>3128</v>
      </c>
      <c r="H24" s="111" t="n">
        <v>3164</v>
      </c>
    </row>
    <row r="25">
      <c r="A25" s="110" t="inlineStr">
        <is>
          <t>Male and female</t>
        </is>
      </c>
      <c r="B25" s="110" t="inlineStr">
        <is>
          <t>Determinate 12 months or more</t>
        </is>
      </c>
      <c r="C25" s="110" t="inlineStr">
        <is>
          <t>Other ethnic group</t>
        </is>
      </c>
      <c r="D25" s="111" t="n">
        <v>30</v>
      </c>
      <c r="E25" s="111" t="n">
        <v>28</v>
      </c>
      <c r="F25" s="111" t="n">
        <v>34</v>
      </c>
      <c r="G25" s="111" t="n">
        <v>38</v>
      </c>
      <c r="H25" s="111" t="n">
        <v>36</v>
      </c>
    </row>
    <row r="26">
      <c r="A26" s="110" t="inlineStr">
        <is>
          <t>Male and female</t>
        </is>
      </c>
      <c r="B26" s="110" t="inlineStr">
        <is>
          <t>Determinate 12 months or more</t>
        </is>
      </c>
      <c r="C26" s="110" t="inlineStr">
        <is>
          <t>Not stated</t>
        </is>
      </c>
      <c r="D26" s="111" t="n">
        <v>5</v>
      </c>
      <c r="E26" s="111" t="n">
        <v>7</v>
      </c>
      <c r="F26" s="111" t="n">
        <v>5</v>
      </c>
      <c r="G26" s="111" t="n">
        <v>4</v>
      </c>
      <c r="H26" s="111" t="n">
        <v>6</v>
      </c>
    </row>
    <row r="27" ht="24.9" customHeight="1">
      <c r="A27" s="110" t="inlineStr">
        <is>
          <t>Male and female</t>
        </is>
      </c>
      <c r="B27" s="110" t="inlineStr">
        <is>
          <t>IPP</t>
        </is>
      </c>
      <c r="C27" s="110" t="inlineStr">
        <is>
          <t>All ethnicities</t>
        </is>
      </c>
      <c r="D27" s="111" t="n">
        <v>181</v>
      </c>
      <c r="E27" s="111" t="n">
        <v>168</v>
      </c>
      <c r="F27" s="111" t="n">
        <v>175</v>
      </c>
      <c r="G27" s="111" t="n">
        <v>134</v>
      </c>
      <c r="H27" s="111" t="n">
        <v>144</v>
      </c>
    </row>
    <row r="28">
      <c r="A28" s="110" t="inlineStr">
        <is>
          <t>Male and female</t>
        </is>
      </c>
      <c r="B28" s="110" t="inlineStr">
        <is>
          <t>IPP</t>
        </is>
      </c>
      <c r="C28" s="110" t="inlineStr">
        <is>
          <t>Asian or Asian British</t>
        </is>
      </c>
      <c r="D28" s="111" t="n">
        <v>5</v>
      </c>
      <c r="E28" s="111" t="n">
        <v>4</v>
      </c>
      <c r="F28" s="111" t="n">
        <v>8</v>
      </c>
      <c r="G28" s="111" t="n">
        <v>2</v>
      </c>
      <c r="H28" s="111" t="n">
        <v>6</v>
      </c>
    </row>
    <row r="29">
      <c r="A29" s="110" t="inlineStr">
        <is>
          <t>Male and female</t>
        </is>
      </c>
      <c r="B29" s="110" t="inlineStr">
        <is>
          <t>IPP</t>
        </is>
      </c>
      <c r="C29" s="110" t="inlineStr">
        <is>
          <t>Black or Black British</t>
        </is>
      </c>
      <c r="D29" s="111" t="n">
        <v>31</v>
      </c>
      <c r="E29" s="111" t="n">
        <v>19</v>
      </c>
      <c r="F29" s="111" t="n">
        <v>22</v>
      </c>
      <c r="G29" s="111" t="n">
        <v>16</v>
      </c>
      <c r="H29" s="111" t="n">
        <v>19</v>
      </c>
    </row>
    <row r="30">
      <c r="A30" s="110" t="inlineStr">
        <is>
          <t>Male and female</t>
        </is>
      </c>
      <c r="B30" s="110" t="inlineStr">
        <is>
          <t>IPP</t>
        </is>
      </c>
      <c r="C30" s="110" t="inlineStr">
        <is>
          <t>Mixed</t>
        </is>
      </c>
      <c r="D30" s="111" t="n">
        <v>6</v>
      </c>
      <c r="E30" s="111" t="n">
        <v>7</v>
      </c>
      <c r="F30" s="111" t="n">
        <v>9</v>
      </c>
      <c r="G30" s="111" t="n">
        <v>9</v>
      </c>
      <c r="H30" s="111" t="n">
        <v>5</v>
      </c>
    </row>
    <row r="31">
      <c r="A31" s="110" t="inlineStr">
        <is>
          <t>Male and female</t>
        </is>
      </c>
      <c r="B31" s="110" t="inlineStr">
        <is>
          <t>IPP</t>
        </is>
      </c>
      <c r="C31" s="110" t="inlineStr">
        <is>
          <t>White</t>
        </is>
      </c>
      <c r="D31" s="111" t="n">
        <v>138</v>
      </c>
      <c r="E31" s="111" t="n">
        <v>137</v>
      </c>
      <c r="F31" s="111" t="n">
        <v>136</v>
      </c>
      <c r="G31" s="111" t="n">
        <v>106</v>
      </c>
      <c r="H31" s="111" t="n">
        <v>113</v>
      </c>
    </row>
    <row r="32">
      <c r="A32" s="110" t="inlineStr">
        <is>
          <t>Male and female</t>
        </is>
      </c>
      <c r="B32" s="110" t="inlineStr">
        <is>
          <t>IPP</t>
        </is>
      </c>
      <c r="C32" s="110" t="inlineStr">
        <is>
          <t>Other ethnic group</t>
        </is>
      </c>
      <c r="D32" s="111" t="n">
        <v>1</v>
      </c>
      <c r="E32" s="111" t="n">
        <v>0</v>
      </c>
      <c r="F32" s="111" t="n">
        <v>0</v>
      </c>
      <c r="G32" s="111" t="n">
        <v>0</v>
      </c>
      <c r="H32" s="111" t="n">
        <v>0</v>
      </c>
    </row>
    <row r="33">
      <c r="A33" s="110" t="inlineStr">
        <is>
          <t>Male and female</t>
        </is>
      </c>
      <c r="B33" s="110" t="inlineStr">
        <is>
          <t>IPP</t>
        </is>
      </c>
      <c r="C33" s="110" t="inlineStr">
        <is>
          <t>Not stated</t>
        </is>
      </c>
      <c r="D33" s="111" t="n">
        <v>0</v>
      </c>
      <c r="E33" s="111" t="n">
        <v>1</v>
      </c>
      <c r="F33" s="111" t="n">
        <v>0</v>
      </c>
      <c r="G33" s="111" t="n">
        <v>1</v>
      </c>
      <c r="H33" s="111" t="n">
        <v>1</v>
      </c>
    </row>
    <row r="34" ht="24.9" customHeight="1">
      <c r="A34" s="110" t="inlineStr">
        <is>
          <t>Male and female</t>
        </is>
      </c>
      <c r="B34" s="110" t="inlineStr">
        <is>
          <t>Life sentence</t>
        </is>
      </c>
      <c r="C34" s="110" t="inlineStr">
        <is>
          <t>All ethnicities</t>
        </is>
      </c>
      <c r="D34" s="111" t="n">
        <v>103</v>
      </c>
      <c r="E34" s="111" t="n">
        <v>103</v>
      </c>
      <c r="F34" s="111" t="n">
        <v>83</v>
      </c>
      <c r="G34" s="111" t="n">
        <v>85</v>
      </c>
      <c r="H34" s="111" t="n">
        <v>67</v>
      </c>
    </row>
    <row r="35">
      <c r="A35" s="110" t="inlineStr">
        <is>
          <t>Male and female</t>
        </is>
      </c>
      <c r="B35" s="110" t="inlineStr">
        <is>
          <t>Life sentence</t>
        </is>
      </c>
      <c r="C35" s="110" t="inlineStr">
        <is>
          <t>Asian or Asian British</t>
        </is>
      </c>
      <c r="D35" s="111" t="n">
        <v>4</v>
      </c>
      <c r="E35" s="111" t="n">
        <v>3</v>
      </c>
      <c r="F35" s="111" t="n">
        <v>2</v>
      </c>
      <c r="G35" s="111" t="n">
        <v>3</v>
      </c>
      <c r="H35" s="111" t="n">
        <v>4</v>
      </c>
    </row>
    <row r="36">
      <c r="A36" s="110" t="inlineStr">
        <is>
          <t>Male and female</t>
        </is>
      </c>
      <c r="B36" s="110" t="inlineStr">
        <is>
          <t>Life sentence</t>
        </is>
      </c>
      <c r="C36" s="110" t="inlineStr">
        <is>
          <t>Black or Black British</t>
        </is>
      </c>
      <c r="D36" s="111" t="n">
        <v>13</v>
      </c>
      <c r="E36" s="111" t="n">
        <v>12</v>
      </c>
      <c r="F36" s="111" t="n">
        <v>9</v>
      </c>
      <c r="G36" s="111" t="n">
        <v>13</v>
      </c>
      <c r="H36" s="111" t="n">
        <v>5</v>
      </c>
    </row>
    <row r="37">
      <c r="A37" s="110" t="inlineStr">
        <is>
          <t>Male and female</t>
        </is>
      </c>
      <c r="B37" s="110" t="inlineStr">
        <is>
          <t>Life sentence</t>
        </is>
      </c>
      <c r="C37" s="110" t="inlineStr">
        <is>
          <t>Mixed</t>
        </is>
      </c>
      <c r="D37" s="111" t="n">
        <v>2</v>
      </c>
      <c r="E37" s="111" t="n">
        <v>4</v>
      </c>
      <c r="F37" s="111" t="n">
        <v>1</v>
      </c>
      <c r="G37" s="111" t="n">
        <v>2</v>
      </c>
      <c r="H37" s="111" t="n">
        <v>1</v>
      </c>
    </row>
    <row r="38">
      <c r="A38" s="110" t="inlineStr">
        <is>
          <t>Male and female</t>
        </is>
      </c>
      <c r="B38" s="110" t="inlineStr">
        <is>
          <t>Life sentence</t>
        </is>
      </c>
      <c r="C38" s="110" t="inlineStr">
        <is>
          <t>White</t>
        </is>
      </c>
      <c r="D38" s="111" t="n">
        <v>83</v>
      </c>
      <c r="E38" s="111" t="n">
        <v>82</v>
      </c>
      <c r="F38" s="111" t="n">
        <v>69</v>
      </c>
      <c r="G38" s="111" t="n">
        <v>65</v>
      </c>
      <c r="H38" s="111" t="n">
        <v>56</v>
      </c>
    </row>
    <row r="39">
      <c r="A39" s="110" t="inlineStr">
        <is>
          <t>Male and female</t>
        </is>
      </c>
      <c r="B39" s="110" t="inlineStr">
        <is>
          <t>Life sentence</t>
        </is>
      </c>
      <c r="C39" s="110" t="inlineStr">
        <is>
          <t>Other ethnic group</t>
        </is>
      </c>
      <c r="D39" s="111" t="n">
        <v>0</v>
      </c>
      <c r="E39" s="111" t="n">
        <v>1</v>
      </c>
      <c r="F39" s="111" t="n">
        <v>1</v>
      </c>
      <c r="G39" s="111" t="n">
        <v>0</v>
      </c>
      <c r="H39" s="111" t="n">
        <v>0</v>
      </c>
    </row>
    <row r="40">
      <c r="A40" s="110" t="inlineStr">
        <is>
          <t>Male and female</t>
        </is>
      </c>
      <c r="B40" s="110" t="inlineStr">
        <is>
          <t>Life sentence</t>
        </is>
      </c>
      <c r="C40" s="110" t="inlineStr">
        <is>
          <t>Not stated</t>
        </is>
      </c>
      <c r="D40" s="111" t="n">
        <v>1</v>
      </c>
      <c r="E40" s="111" t="n">
        <v>1</v>
      </c>
      <c r="F40" s="111" t="n">
        <v>1</v>
      </c>
      <c r="G40" s="111" t="n">
        <v>2</v>
      </c>
      <c r="H40" s="111" t="n">
        <v>1</v>
      </c>
    </row>
    <row r="41" ht="24.9" customHeight="1">
      <c r="A41" s="110" t="inlineStr">
        <is>
          <t>Male</t>
        </is>
      </c>
      <c r="B41" s="110" t="inlineStr">
        <is>
          <t>All sentence types</t>
        </is>
      </c>
      <c r="C41" s="110" t="inlineStr">
        <is>
          <t>All ethnicities</t>
        </is>
      </c>
      <c r="D41" s="111" t="n">
        <v>6362</v>
      </c>
      <c r="E41" s="111" t="n">
        <v>6337</v>
      </c>
      <c r="F41" s="111" t="n">
        <v>6489</v>
      </c>
      <c r="G41" s="111" t="n">
        <v>6573</v>
      </c>
      <c r="H41" s="111" t="n">
        <v>6852</v>
      </c>
    </row>
    <row r="42">
      <c r="A42" s="110" t="inlineStr">
        <is>
          <t>Male</t>
        </is>
      </c>
      <c r="B42" s="110" t="inlineStr">
        <is>
          <t>All sentence types</t>
        </is>
      </c>
      <c r="C42" s="110" t="inlineStr">
        <is>
          <t>Asian or Asian British</t>
        </is>
      </c>
      <c r="D42" s="111" t="n">
        <v>307</v>
      </c>
      <c r="E42" s="111" t="n">
        <v>296</v>
      </c>
      <c r="F42" s="111" t="n">
        <v>305</v>
      </c>
      <c r="G42" s="111" t="n">
        <v>326</v>
      </c>
      <c r="H42" s="111" t="n">
        <v>344</v>
      </c>
    </row>
    <row r="43">
      <c r="A43" s="110" t="inlineStr">
        <is>
          <t>Male</t>
        </is>
      </c>
      <c r="B43" s="110" t="inlineStr">
        <is>
          <t>All sentence types</t>
        </is>
      </c>
      <c r="C43" s="110" t="inlineStr">
        <is>
          <t>Black or Black British</t>
        </is>
      </c>
      <c r="D43" s="111" t="n">
        <v>539</v>
      </c>
      <c r="E43" s="111" t="n">
        <v>511</v>
      </c>
      <c r="F43" s="111" t="n">
        <v>523</v>
      </c>
      <c r="G43" s="111" t="n">
        <v>517</v>
      </c>
      <c r="H43" s="111" t="n">
        <v>565</v>
      </c>
    </row>
    <row r="44">
      <c r="A44" s="110" t="inlineStr">
        <is>
          <t>Male</t>
        </is>
      </c>
      <c r="B44" s="110" t="inlineStr">
        <is>
          <t>All sentence types</t>
        </is>
      </c>
      <c r="C44" s="110" t="inlineStr">
        <is>
          <t>Mixed</t>
        </is>
      </c>
      <c r="D44" s="111" t="n">
        <v>263</v>
      </c>
      <c r="E44" s="111" t="n">
        <v>231</v>
      </c>
      <c r="F44" s="111" t="n">
        <v>258</v>
      </c>
      <c r="G44" s="111" t="n">
        <v>256</v>
      </c>
      <c r="H44" s="111" t="n">
        <v>235</v>
      </c>
    </row>
    <row r="45">
      <c r="A45" s="110" t="inlineStr">
        <is>
          <t>Male</t>
        </is>
      </c>
      <c r="B45" s="110" t="inlineStr">
        <is>
          <t>All sentence types</t>
        </is>
      </c>
      <c r="C45" s="110" t="inlineStr">
        <is>
          <t>White</t>
        </is>
      </c>
      <c r="D45" s="111" t="n">
        <v>5176</v>
      </c>
      <c r="E45" s="111" t="n">
        <v>5228</v>
      </c>
      <c r="F45" s="111" t="n">
        <v>5337</v>
      </c>
      <c r="G45" s="111" t="n">
        <v>5386</v>
      </c>
      <c r="H45" s="111" t="n">
        <v>5621</v>
      </c>
    </row>
    <row r="46">
      <c r="A46" s="110" t="inlineStr">
        <is>
          <t>Male</t>
        </is>
      </c>
      <c r="B46" s="110" t="inlineStr">
        <is>
          <t>All sentence types</t>
        </is>
      </c>
      <c r="C46" s="110" t="inlineStr">
        <is>
          <t>Other ethnic group</t>
        </is>
      </c>
      <c r="D46" s="111" t="n">
        <v>71</v>
      </c>
      <c r="E46" s="111" t="n">
        <v>61</v>
      </c>
      <c r="F46" s="111" t="n">
        <v>59</v>
      </c>
      <c r="G46" s="111" t="n">
        <v>81</v>
      </c>
      <c r="H46" s="111" t="n">
        <v>77</v>
      </c>
    </row>
    <row r="47">
      <c r="A47" s="110" t="inlineStr">
        <is>
          <t>Male</t>
        </is>
      </c>
      <c r="B47" s="110" t="inlineStr">
        <is>
          <t>All sentence types</t>
        </is>
      </c>
      <c r="C47" s="110" t="inlineStr">
        <is>
          <t>Not stated</t>
        </is>
      </c>
      <c r="D47" s="111" t="n">
        <v>6</v>
      </c>
      <c r="E47" s="111" t="n">
        <v>10</v>
      </c>
      <c r="F47" s="111" t="n">
        <v>7</v>
      </c>
      <c r="G47" s="111" t="n">
        <v>7</v>
      </c>
      <c r="H47" s="111" t="n">
        <v>10</v>
      </c>
    </row>
    <row r="48" ht="24.9" customHeight="1">
      <c r="A48" s="110" t="inlineStr">
        <is>
          <t>Female</t>
        </is>
      </c>
      <c r="B48" s="110" t="inlineStr">
        <is>
          <t>All sentence types</t>
        </is>
      </c>
      <c r="C48" s="110" t="inlineStr">
        <is>
          <t>All ethnicities</t>
        </is>
      </c>
      <c r="D48" s="111" t="n">
        <v>462</v>
      </c>
      <c r="E48" s="111" t="n">
        <v>477</v>
      </c>
      <c r="F48" s="111" t="n">
        <v>541</v>
      </c>
      <c r="G48" s="111" t="n">
        <v>579</v>
      </c>
      <c r="H48" s="111" t="n">
        <v>563</v>
      </c>
    </row>
    <row r="49">
      <c r="A49" s="110" t="inlineStr">
        <is>
          <t>Female</t>
        </is>
      </c>
      <c r="B49" s="110" t="inlineStr">
        <is>
          <t>All sentence types</t>
        </is>
      </c>
      <c r="C49" s="110" t="inlineStr">
        <is>
          <t>Asian or Asian British</t>
        </is>
      </c>
      <c r="D49" s="111" t="n">
        <v>3</v>
      </c>
      <c r="E49" s="111" t="n">
        <v>3</v>
      </c>
      <c r="F49" s="111" t="n">
        <v>6</v>
      </c>
      <c r="G49" s="111" t="n">
        <v>3</v>
      </c>
      <c r="H49" s="111" t="n">
        <v>8</v>
      </c>
    </row>
    <row r="50">
      <c r="A50" s="110" t="inlineStr">
        <is>
          <t>Female</t>
        </is>
      </c>
      <c r="B50" s="110" t="inlineStr">
        <is>
          <t>All sentence types</t>
        </is>
      </c>
      <c r="C50" s="110" t="inlineStr">
        <is>
          <t>Black or Black British</t>
        </is>
      </c>
      <c r="D50" s="111" t="n">
        <v>29</v>
      </c>
      <c r="E50" s="111" t="n">
        <v>25</v>
      </c>
      <c r="F50" s="111" t="n">
        <v>31</v>
      </c>
      <c r="G50" s="111" t="n">
        <v>30</v>
      </c>
      <c r="H50" s="111" t="n">
        <v>25</v>
      </c>
    </row>
    <row r="51">
      <c r="A51" s="110" t="inlineStr">
        <is>
          <t>Female</t>
        </is>
      </c>
      <c r="B51" s="110" t="inlineStr">
        <is>
          <t>All sentence types</t>
        </is>
      </c>
      <c r="C51" s="110" t="inlineStr">
        <is>
          <t>Mixed</t>
        </is>
      </c>
      <c r="D51" s="111" t="n">
        <v>17</v>
      </c>
      <c r="E51" s="111" t="n">
        <v>24</v>
      </c>
      <c r="F51" s="111" t="n">
        <v>20</v>
      </c>
      <c r="G51" s="111" t="n">
        <v>27</v>
      </c>
      <c r="H51" s="111" t="n">
        <v>16</v>
      </c>
    </row>
    <row r="52">
      <c r="A52" s="110" t="inlineStr">
        <is>
          <t>Female</t>
        </is>
      </c>
      <c r="B52" s="110" t="inlineStr">
        <is>
          <t>All sentence types</t>
        </is>
      </c>
      <c r="C52" s="110" t="inlineStr">
        <is>
          <t>White</t>
        </is>
      </c>
      <c r="D52" s="111" t="n">
        <v>412</v>
      </c>
      <c r="E52" s="111" t="n">
        <v>424</v>
      </c>
      <c r="F52" s="111" t="n">
        <v>484</v>
      </c>
      <c r="G52" s="111" t="n">
        <v>516</v>
      </c>
      <c r="H52" s="111" t="n">
        <v>512</v>
      </c>
    </row>
    <row r="53">
      <c r="A53" s="110" t="inlineStr">
        <is>
          <t>Female</t>
        </is>
      </c>
      <c r="B53" s="110" t="inlineStr">
        <is>
          <t>All sentence types</t>
        </is>
      </c>
      <c r="C53" s="110" t="inlineStr">
        <is>
          <t>Other ethnic group</t>
        </is>
      </c>
      <c r="D53" s="111" t="n">
        <v>1</v>
      </c>
      <c r="E53" s="111" t="n">
        <v>1</v>
      </c>
      <c r="F53" s="111" t="n">
        <v>0</v>
      </c>
      <c r="G53" s="111" t="n">
        <v>2</v>
      </c>
      <c r="H53" s="111" t="n">
        <v>1</v>
      </c>
    </row>
    <row r="54">
      <c r="A54" s="110" t="inlineStr">
        <is>
          <t>Female</t>
        </is>
      </c>
      <c r="B54" s="110" t="inlineStr">
        <is>
          <t>All sentence types</t>
        </is>
      </c>
      <c r="C54" s="110" t="inlineStr">
        <is>
          <t>Not stated</t>
        </is>
      </c>
      <c r="D54" s="111" t="n">
        <v>0</v>
      </c>
      <c r="E54" s="111" t="n">
        <v>0</v>
      </c>
      <c r="F54" s="111" t="n">
        <v>0</v>
      </c>
      <c r="G54" s="111" t="n">
        <v>1</v>
      </c>
      <c r="H54" s="111" t="n">
        <v>1</v>
      </c>
    </row>
  </sheetData>
  <hyperlinks>
    <hyperlink xmlns:r="http://schemas.openxmlformats.org/officeDocument/2006/relationships" ref="A3" r:id="rId1"/>
  </hyperlink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2024-07-17T14:20:34Z</dcterms:created>
  <dcterms:modified xmlns:dcterms="http://purl.org/dc/terms/" xmlns:xsi="http://www.w3.org/2001/XMLSchema-instance" xsi:type="dcterms:W3CDTF">2024-07-18T11:32:15Z</dcterms:modified>
  <cp:lastModifiedBy>Nyame, Eric</cp:lastModifiedBy>
</cp:coreProperties>
</file>